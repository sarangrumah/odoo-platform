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Odoo\platform\docs\finance-portal\"/>
    </mc:Choice>
  </mc:AlternateContent>
  <xr:revisionPtr revIDLastSave="0" documentId="13_ncr:1_{4D883364-4A77-426B-9745-CD6F25D37C6A}" xr6:coauthVersionLast="47" xr6:coauthVersionMax="47" xr10:uidLastSave="{00000000-0000-0000-0000-000000000000}"/>
  <bookViews>
    <workbookView xWindow="3810" yWindow="3810" windowWidth="38700" windowHeight="15345" activeTab="2" xr2:uid="{00000000-000D-0000-FFFF-FFFF00000000}"/>
  </bookViews>
  <sheets>
    <sheet name="Ringkasan" sheetId="1" r:id="rId1"/>
    <sheet name="Semua Fase (408)" sheetId="2" r:id="rId2"/>
    <sheet name="Build Detail (20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3" i="2"/>
  <c r="F10" i="2"/>
  <c r="F11" i="2"/>
  <c r="F12" i="2"/>
</calcChain>
</file>

<file path=xl/sharedStrings.xml><?xml version="1.0" encoding="utf-8"?>
<sst xmlns="http://schemas.openxmlformats.org/spreadsheetml/2006/main" count="740" uniqueCount="345">
  <si>
    <t>Finance Portal Odoo — Estimasi Mandays</t>
  </si>
  <si>
    <t>Scope: Odoo-only  ·  SAP &amp; HC/HRIS = Out of Scope  ·  2026-07-01</t>
  </si>
  <si>
    <t>Total Proyek
(incl. PMO + Kontingensi 15%)</t>
  </si>
  <si>
    <t>Total Non-PMO
(dengan Kontingensi 15%)</t>
  </si>
  <si>
    <t>Build Phase Non-PMO
(tanpa Kontingensi)</t>
  </si>
  <si>
    <t>Semua 7 fase · semua role</t>
  </si>
  <si>
    <t>BA + Dev + QA · semua 7 fase</t>
  </si>
  <si>
    <t>BA + Dev + QA · Fase Build saja</t>
  </si>
  <si>
    <t>Rekap per Fase — Semua Role</t>
  </si>
  <si>
    <t>No</t>
  </si>
  <si>
    <t>Fase</t>
  </si>
  <si>
    <t>PMO</t>
  </si>
  <si>
    <t>BA</t>
  </si>
  <si>
    <t>Dev</t>
  </si>
  <si>
    <t>QA</t>
  </si>
  <si>
    <t>Total</t>
  </si>
  <si>
    <t>Keterangan</t>
  </si>
  <si>
    <t>1</t>
  </si>
  <si>
    <t>Requirement &amp; Analysis</t>
  </si>
  <si>
    <t>FSD draft, kontrak integrasi final</t>
  </si>
  <si>
    <t>2</t>
  </si>
  <si>
    <t>Design (FSD/TSD)</t>
  </si>
  <si>
    <t>TSD, data model sign-off, mockup</t>
  </si>
  <si>
    <t>3</t>
  </si>
  <si>
    <t>Build (lihat sheet Build Detail)</t>
  </si>
  <si>
    <t>Sprint 2-mingguan → breakdown di sheet 'Build Detail (202)'</t>
  </si>
  <si>
    <t>4</t>
  </si>
  <si>
    <t>SIT</t>
  </si>
  <si>
    <t>E2E pass — gated: konektor SAP/Kafka/HRIS ready</t>
  </si>
  <si>
    <t>5</t>
  </si>
  <si>
    <t>UAT</t>
  </si>
  <si>
    <t>UAT sign-off user</t>
  </si>
  <si>
    <t>6</t>
  </si>
  <si>
    <t>Cutover &amp; Go-Live</t>
  </si>
  <si>
    <t>Parallel run, cutover day</t>
  </si>
  <si>
    <t>7</t>
  </si>
  <si>
    <t>Hypercare</t>
  </si>
  <si>
    <t>Stabilisasi 3 minggu, handover support</t>
  </si>
  <si>
    <t>Subtotal (tanpa kontingensi)</t>
  </si>
  <si>
    <t>+ Kontingensi 15%</t>
  </si>
  <si>
    <t>TOTAL (dengan kontingensi)</t>
  </si>
  <si>
    <t>Grand total termasuk PMO</t>
  </si>
  <si>
    <t>Total Non-PMO  =  462 − 54</t>
  </si>
  <si>
    <t>—</t>
  </si>
  <si>
    <t>Angka ini setara spreadsheet klien (tanpa PMO)</t>
  </si>
  <si>
    <t>Keterangan: PMO (54 md) dikeluarkan karena spreadsheet klien hanya mencantumkan kolom IT BA &amp; IT Dev. Angka 202 = Fase Build saja (BA 35 + Dev 123 + QA 44). Angka 408 = semua 7 fase + kontingensi 15%, tanpa PMO.</t>
  </si>
  <si>
    <t>Estimasi Mandays — Semua Fase  (Total Non-PMO = 408 md  ·  incl. PMO = 462 md)</t>
  </si>
  <si>
    <t>Fase / Aktivitas</t>
  </si>
  <si>
    <t>% dari total</t>
  </si>
  <si>
    <t>9.2%</t>
  </si>
  <si>
    <t>FSD draft, stakeholder interview, kontrak integrasi final</t>
  </si>
  <si>
    <t>6.7%</t>
  </si>
  <si>
    <t>TSD &amp; data model sign-off, UI mockup, JSON payload spec</t>
  </si>
  <si>
    <t>Build / Development</t>
  </si>
  <si>
    <t>54.9%</t>
  </si>
  <si>
    <t>Sprint 2-mingguan, feature complete → detail di sheet 'Build Detail (202)'</t>
  </si>
  <si>
    <t>9.7%</t>
  </si>
  <si>
    <t>Gated: konektor SAP/Kafka/HRIS ready; E2E pass</t>
  </si>
  <si>
    <t>UAT sign-off dari user</t>
  </si>
  <si>
    <t>5.0%</t>
  </si>
  <si>
    <t>Data migration, parallel run, cutover day</t>
  </si>
  <si>
    <t>5.2%</t>
  </si>
  <si>
    <t>Stabilisasi 3 minggu, handover ke support</t>
  </si>
  <si>
    <t>100%</t>
  </si>
  <si>
    <t>15%</t>
  </si>
  <si>
    <t>115%</t>
  </si>
  <si>
    <t>Catatan: Angka di tabel ini adalah TOTAL PROYEK (semua 7 fase). Sheet 'Build Detail (202)' berisi breakdown per-fitur untuk Fase 3 saja. Fase 1-2-4-5-6-7 tidak di-breakdown per-fitur karena aktivitasnya berupa kegiatan (workshop, review, testing), bukan deliverable fitur.</t>
  </si>
  <si>
    <t>Build Phase Detail — Finance Portal Odoo  (BA 35 + Dev 123 + QA 44 = 202 mandays, tanpa PMO &amp; kontingensi)</t>
  </si>
  <si>
    <t>WS</t>
  </si>
  <si>
    <t>Modul</t>
  </si>
  <si>
    <t>Fitur / Menu</t>
  </si>
  <si>
    <t>Sub-Fitur / Task Odoo</t>
  </si>
  <si>
    <t>Komponen Odoo</t>
  </si>
  <si>
    <t>Interfacing</t>
  </si>
  <si>
    <t>Complexity</t>
  </si>
  <si>
    <t xml:space="preserve">  A.  Foundation &amp; SSO</t>
  </si>
  <si>
    <t>A.1</t>
  </si>
  <si>
    <t>A</t>
  </si>
  <si>
    <t>Foundation</t>
  </si>
  <si>
    <t>Multi-company base scaffold</t>
  </si>
  <si>
    <t>Manifest, __init__, install check, base model mixin</t>
  </si>
  <si>
    <t>custom_finance_portal</t>
  </si>
  <si>
    <t>Internal</t>
  </si>
  <si>
    <t>Low</t>
  </si>
  <si>
    <t>A.2</t>
  </si>
  <si>
    <t>Keycloak SSO sisi Odoo</t>
  </si>
  <si>
    <t>auth_oauth config, role mapping, tenant isolation, redirect URI</t>
  </si>
  <si>
    <t>custom_finance_portal_sso</t>
  </si>
  <si>
    <t>SSO/Keycloak</t>
  </si>
  <si>
    <t>High</t>
  </si>
  <si>
    <t>A.3</t>
  </si>
  <si>
    <t>Security groups &amp; access rules</t>
  </si>
  <si>
    <t>Groups per role (Submitter / Tax / Finance / Admin), record rules</t>
  </si>
  <si>
    <t>A.4</t>
  </si>
  <si>
    <t>CI/CD &amp; static validation</t>
  </si>
  <si>
    <t>py_compile, XML/ACL lint, install smoke test script</t>
  </si>
  <si>
    <t>DevOps</t>
  </si>
  <si>
    <t>A.5</t>
  </si>
  <si>
    <t>Vendor Portal SSO login</t>
  </si>
  <si>
    <t>Vendor auth flow via auth_oauth, session management sisi Odoo</t>
  </si>
  <si>
    <t xml:space="preserve">  B.  Master Data &amp; Sync</t>
  </si>
  <si>
    <t>B.1</t>
  </si>
  <si>
    <t>B</t>
  </si>
  <si>
    <t>Master Data</t>
  </si>
  <si>
    <t>Submission Type</t>
  </si>
  <si>
    <t>CRUD + seed data (CA, Expense, PD, Invoice)</t>
  </si>
  <si>
    <t>B.2</t>
  </si>
  <si>
    <t>Invoice Routine Type</t>
  </si>
  <si>
    <t>CRUD (Routine / Non-Routine)</t>
  </si>
  <si>
    <t>B.3</t>
  </si>
  <si>
    <t>Invoice Type</t>
  </si>
  <si>
    <t>CRUD (PO / Non-PO Non-Trade)</t>
  </si>
  <si>
    <t>B.4</t>
  </si>
  <si>
    <t>Item Category</t>
  </si>
  <si>
    <t>Odoo model + upsert idempoten dari SAP webhook</t>
  </si>
  <si>
    <t>custom_finance_portal_sap</t>
  </si>
  <si>
    <t>SAP-API</t>
  </si>
  <si>
    <t>B.5</t>
  </si>
  <si>
    <t>Item of Submission</t>
  </si>
  <si>
    <t>B.6</t>
  </si>
  <si>
    <t>Supplier / Vendor Master</t>
  </si>
  <si>
    <t>Upsert res.partner dari SAP webhook, dedup by vendor code</t>
  </si>
  <si>
    <t>B.7</t>
  </si>
  <si>
    <t>COA (Chart of Accounts)</t>
  </si>
  <si>
    <t>Upsert account.account (filter GL relevan) dari SAP</t>
  </si>
  <si>
    <t>B.8</t>
  </si>
  <si>
    <t>Cost Budget per Divisi</t>
  </si>
  <si>
    <t>Model budget + upsert dari SAP</t>
  </si>
  <si>
    <t>custom_finance_budget</t>
  </si>
  <si>
    <t>B.9</t>
  </si>
  <si>
    <t>Approval Matrix</t>
  </si>
  <si>
    <t>Upsert approval matrix + mapping approver Odoo user</t>
  </si>
  <si>
    <t>B.10</t>
  </si>
  <si>
    <t>Finance Approval Matrix</t>
  </si>
  <si>
    <t>CRUD local — mapping PIC Finance per vertical</t>
  </si>
  <si>
    <t>B.11</t>
  </si>
  <si>
    <t>Vertical / Business Plant</t>
  </si>
  <si>
    <t>Upsert dari SAP, linked ke res.company</t>
  </si>
  <si>
    <t>B.12</t>
  </si>
  <si>
    <t>User Master (sync SAP/HRIS)</t>
  </si>
  <si>
    <t>Upsert res.users + cron job scheduler</t>
  </si>
  <si>
    <t>SAP-API/HRIS</t>
  </si>
  <si>
    <t>B.13</t>
  </si>
  <si>
    <t>User Role (sync SAP)</t>
  </si>
  <si>
    <t>Upsert res.groups mapping dari role SAP</t>
  </si>
  <si>
    <t xml:space="preserve">  C.  Cash Advance + Realization</t>
  </si>
  <si>
    <t>C.1</t>
  </si>
  <si>
    <t>C</t>
  </si>
  <si>
    <t>Cash Advance</t>
  </si>
  <si>
    <t>Request CA – List &amp; Filter</t>
  </si>
  <si>
    <t>List/kanban view, search panel, filter status/date/CA number</t>
  </si>
  <si>
    <t>C.2</t>
  </si>
  <si>
    <t>Request CA – Create/Edit form</t>
  </si>
  <si>
    <t>Form: CA No, PR/PO, requester, NIK, company, division, amount, tgl payment, metode, bank, rekening, penerima, approver, note</t>
  </si>
  <si>
    <t>C.3</t>
  </si>
  <si>
    <t>Validasi PR (&gt; Rp 1jt wajib PR)</t>
  </si>
  <si>
    <t>Constraint + lookup nomor PR dari SAP (real-time)</t>
  </si>
  <si>
    <t>C.4</t>
  </si>
  <si>
    <t>Approval workflow Tax→Finance</t>
  </si>
  <si>
    <t>Approval engine 2 level: Tax Review → Finance Review</t>
  </si>
  <si>
    <t>C.5</t>
  </si>
  <si>
    <t>Push CA ke SAP</t>
  </si>
  <si>
    <t>Adapter: POST ke SAP endpoint, async via queue_job</t>
  </si>
  <si>
    <t>C.6</t>
  </si>
  <si>
    <t>CA Realization</t>
  </si>
  <si>
    <t>Realization CA – List &amp; Filter</t>
  </si>
  <si>
    <t>List view, filter by CA/status</t>
  </si>
  <si>
    <t>C.7</t>
  </si>
  <si>
    <t>Realization CA – Create/Edit form</t>
  </si>
  <si>
    <t>Link ke CA asal, tabel detail realisasi, sisa budget, tgl realisasi</t>
  </si>
  <si>
    <t>Medium</t>
  </si>
  <si>
    <t>C.8</t>
  </si>
  <si>
    <t>Approval Realization Tax→Finance</t>
  </si>
  <si>
    <t>Reuse approval engine (beda state machine)</t>
  </si>
  <si>
    <t>C.9</t>
  </si>
  <si>
    <t>Terima status payment dari SAP</t>
  </si>
  <si>
    <t>Webhook handler: update state CA + notif user</t>
  </si>
  <si>
    <t xml:space="preserve">  D.  Reimbursement &amp; Expenses</t>
  </si>
  <si>
    <t>D.1</t>
  </si>
  <si>
    <t>D</t>
  </si>
  <si>
    <t>Reimbursement</t>
  </si>
  <si>
    <t>List &amp; Filter</t>
  </si>
  <si>
    <t>List view, filter by status/type/date</t>
  </si>
  <si>
    <t>D.2</t>
  </si>
  <si>
    <t>Create/Edit form</t>
  </si>
  <si>
    <t>Form field expense/reimbursement + attachment</t>
  </si>
  <si>
    <t>D.3</t>
  </si>
  <si>
    <t>Validasi PR (&gt; Rp 1jt)</t>
  </si>
  <si>
    <t>Reuse constraint + SAP PR lookup dari C.3</t>
  </si>
  <si>
    <t>D.4</t>
  </si>
  <si>
    <t>Reuse approval engine</t>
  </si>
  <si>
    <t>D.5</t>
  </si>
  <si>
    <t>Push expense ke SAP</t>
  </si>
  <si>
    <t>D.6</t>
  </si>
  <si>
    <t>Webhook handler (reuse, beda state machine)</t>
  </si>
  <si>
    <t xml:space="preserve">  E.  Vendor Invoice + Vendor Portal</t>
  </si>
  <si>
    <t>E.1</t>
  </si>
  <si>
    <t>E</t>
  </si>
  <si>
    <t>Invoice Non-PO</t>
  </si>
  <si>
    <t>List view + filter status/date/vendor</t>
  </si>
  <si>
    <t>E.2</t>
  </si>
  <si>
    <t>Create/Edit form Non-PO</t>
  </si>
  <si>
    <t>Form: nomor inv, GL Account, COA, attachment, approval</t>
  </si>
  <si>
    <t>E.3</t>
  </si>
  <si>
    <t>E.4</t>
  </si>
  <si>
    <t>Push MIRO posting ke SAP</t>
  </si>
  <si>
    <t>Adapter: POST invoice posting ke SAP, async queue_job</t>
  </si>
  <si>
    <t>E.5</t>
  </si>
  <si>
    <t>Invoice PO</t>
  </si>
  <si>
    <t>List &amp; Filter PO-linked</t>
  </si>
  <si>
    <t>List view + lookup PO/GR dari SAP</t>
  </si>
  <si>
    <t>E.6</t>
  </si>
  <si>
    <t>Create form PO-linked</t>
  </si>
  <si>
    <t>Auto-populate dari PO/GR SAP, validasi qty/nilai GR</t>
  </si>
  <si>
    <t>E.7</t>
  </si>
  <si>
    <t>E.8</t>
  </si>
  <si>
    <t>Push MIRO posting ke SAP (PO-linked)</t>
  </si>
  <si>
    <t>Adapter (reuse E.4, beda payload PO-linked)</t>
  </si>
  <si>
    <t>E.9</t>
  </si>
  <si>
    <t>Vendor Portal</t>
  </si>
  <si>
    <t>Login Vendor (SSO) + landing</t>
  </si>
  <si>
    <t>Vendor auth flow via auth_oauth, landing page submit invoice</t>
  </si>
  <si>
    <t>E.10</t>
  </si>
  <si>
    <t>Submit invoice + tracking status</t>
  </si>
  <si>
    <t>Vendor-facing form + polling status dari SAP</t>
  </si>
  <si>
    <t xml:space="preserve">  F.  Perjalanan Dinas</t>
  </si>
  <si>
    <t>F.1</t>
  </si>
  <si>
    <t>F</t>
  </si>
  <si>
    <t>PD Request</t>
  </si>
  <si>
    <t>List view + filter by date/status</t>
  </si>
  <si>
    <t>HRIS-API</t>
  </si>
  <si>
    <t>F.2</t>
  </si>
  <si>
    <t>Form field sesuai kontrak HRIS: tujuan, tanggal, anggaran, tipe PD</t>
  </si>
  <si>
    <t>F.3</t>
  </si>
  <si>
    <t>F.4</t>
  </si>
  <si>
    <t>PD Realization</t>
  </si>
  <si>
    <t>List view</t>
  </si>
  <si>
    <t>F.5</t>
  </si>
  <si>
    <t>Create/Edit form Realization</t>
  </si>
  <si>
    <t>Settlement: link ke PD asal, actual expense, lampiran bukti</t>
  </si>
  <si>
    <t>F.6</t>
  </si>
  <si>
    <t>Approval Realization</t>
  </si>
  <si>
    <t xml:space="preserve">  G.  Budget Control</t>
  </si>
  <si>
    <t>G.1</t>
  </si>
  <si>
    <t>G</t>
  </si>
  <si>
    <t>Budget Control</t>
  </si>
  <si>
    <t>Budget limit check per divisi</t>
  </si>
  <si>
    <t>Computed field sisa budget pada form dokumen</t>
  </si>
  <si>
    <t>G.2</t>
  </si>
  <si>
    <t>Validasi &amp; lookup PR (≥ Rp 1jt)</t>
  </si>
  <si>
    <t>SAP PR lookup adapter + onchange constraint</t>
  </si>
  <si>
    <t>G.3</t>
  </si>
  <si>
    <t>Lookup &amp; validasi PO/GR</t>
  </si>
  <si>
    <t>SAP PO/GR adapter + populate fields</t>
  </si>
  <si>
    <t>G.4</t>
  </si>
  <si>
    <t>Remaining budget display (computed)</t>
  </si>
  <si>
    <t>Computed field: budget − committed − realisasi</t>
  </si>
  <si>
    <t>G.5</t>
  </si>
  <si>
    <t>Alert + blocking rule over-budget</t>
  </si>
  <si>
    <t>Warning popup + hard-block state constraint</t>
  </si>
  <si>
    <t xml:space="preserve">  H.  Integration Odoo-side</t>
  </si>
  <si>
    <t>H.1</t>
  </si>
  <si>
    <t>H</t>
  </si>
  <si>
    <t>Integration</t>
  </si>
  <si>
    <t>Adapter base (REST caller + retry)</t>
  </si>
  <si>
    <t>Base class HTTP REST, timeout, retry 3×, error mapping</t>
  </si>
  <si>
    <t>H.2</t>
  </si>
  <si>
    <t>Push job async via queue_job</t>
  </si>
  <si>
    <t>CA, expense, MIRO push job + priority queue</t>
  </si>
  <si>
    <t>H.3</t>
  </si>
  <si>
    <t>Webhook receiver + HMAC validator</t>
  </si>
  <si>
    <t>HTTP controller endpoint, signature validation, dispatch handler</t>
  </si>
  <si>
    <t>H.4</t>
  </si>
  <si>
    <t>Sync log menu</t>
  </si>
  <si>
    <t>Tree/form view log (sukses/gagal/pending) per dokumen + retry button</t>
  </si>
  <si>
    <t>H.5</t>
  </si>
  <si>
    <t>Master data upsert cron</t>
  </si>
  <si>
    <t>ir.cron jobs untuk upsert harian semua master dari SAP</t>
  </si>
  <si>
    <t>H.6</t>
  </si>
  <si>
    <t>Dead-letter retry + alert email</t>
  </si>
  <si>
    <t>queue_job failure handler, email notif ke admin</t>
  </si>
  <si>
    <t xml:space="preserve">  I.  Reporting + Dashboard</t>
  </si>
  <si>
    <t>I.1</t>
  </si>
  <si>
    <t>I</t>
  </si>
  <si>
    <t>Dashboard</t>
  </si>
  <si>
    <t>Cash Advance Dashboard</t>
  </si>
  <si>
    <t>Stat blocks (New/On Process/Reject/Pending) + filter date + search CA#</t>
  </si>
  <si>
    <t>OWL/ir.ui.view</t>
  </si>
  <si>
    <t>I.2</t>
  </si>
  <si>
    <t>Reimbursement Dashboard</t>
  </si>
  <si>
    <t>Stat blocks + list mini</t>
  </si>
  <si>
    <t>I.3</t>
  </si>
  <si>
    <t>Invoice Vendor Dashboard</t>
  </si>
  <si>
    <t>Stat blocks (Non-PO &amp; PO) + filter</t>
  </si>
  <si>
    <t>I.4</t>
  </si>
  <si>
    <t>Perjalanan Dinas Dashboard</t>
  </si>
  <si>
    <t>I.5</t>
  </si>
  <si>
    <t>Reporting</t>
  </si>
  <si>
    <t>Login log</t>
  </si>
  <si>
    <t>Wrapper ir.logging + list view + filter user/date</t>
  </si>
  <si>
    <t>I.6</t>
  </si>
  <si>
    <t>Transaction audit log</t>
  </si>
  <si>
    <t>Audit trail model (create/update/approve/reject) + wizard export</t>
  </si>
  <si>
    <t>I.7</t>
  </si>
  <si>
    <t>Cash Advance report (Excel/PDF)</t>
  </si>
  <si>
    <t>QWeb report template + xlsx export</t>
  </si>
  <si>
    <t>I.8</t>
  </si>
  <si>
    <t>Reimbursement report</t>
  </si>
  <si>
    <t>I.9</t>
  </si>
  <si>
    <t>Invoice Vendor report</t>
  </si>
  <si>
    <t>I.10</t>
  </si>
  <si>
    <t>Sync log report / export</t>
  </si>
  <si>
    <t>List view + CSV export</t>
  </si>
  <si>
    <t xml:space="preserve">  J.  Configuration</t>
  </si>
  <si>
    <t>J.1</t>
  </si>
  <si>
    <t>J</t>
  </si>
  <si>
    <t>Configuration</t>
  </si>
  <si>
    <t>Finance Portal settings panel</t>
  </si>
  <si>
    <t>ir.config_parameter + settings view (base URL SAP, secret token, flags)</t>
  </si>
  <si>
    <t>J.2</t>
  </si>
  <si>
    <t>Limitation for Submission master</t>
  </si>
  <si>
    <t>Model + CRUD view (limit per submission type/divisi)</t>
  </si>
  <si>
    <t>J.3</t>
  </si>
  <si>
    <t>Sync config (endpoint, topic, token)</t>
  </si>
  <si>
    <t>Settings form per integrasi + test-connection button</t>
  </si>
  <si>
    <t xml:space="preserve">  K.  Non-Functional</t>
  </si>
  <si>
    <t>K.1</t>
  </si>
  <si>
    <t>K</t>
  </si>
  <si>
    <t>Non-Functional</t>
  </si>
  <si>
    <t>PDP classification audit</t>
  </si>
  <si>
    <t>Data category fields, access log, custom_pdp_classification reuse</t>
  </si>
  <si>
    <t>custom_pdp_classification</t>
  </si>
  <si>
    <t>K.2</t>
  </si>
  <si>
    <t>Security hardening</t>
  </si>
  <si>
    <t>SQL injection, XSS, IDOR review + perbaikan sisi Odoo</t>
  </si>
  <si>
    <t>All modules</t>
  </si>
  <si>
    <t>K.3</t>
  </si>
  <si>
    <t>Performance (N+1 / prefetch)</t>
  </si>
  <si>
    <t>Profiling query, prefetch_ids, pagination</t>
  </si>
  <si>
    <t>K.4</t>
  </si>
  <si>
    <t>Resilience (circuit breaker + timeout)</t>
  </si>
  <si>
    <t>Adapter timeout, fallback state, exponential backoff</t>
  </si>
  <si>
    <t>GRAND TOTAL FASE BUILD  (tanpa PMO, tanpa kontingensi)</t>
  </si>
  <si>
    <t>Rumus Kompleksitas</t>
  </si>
  <si>
    <t>Total/baris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</si>
</sst>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b/>
      <sz val="32"/>
      <color rgb="FF1A2332"/>
      <name val="Calibri"/>
    </font>
    <font>
      <i/>
      <sz val="9"/>
      <color rgb="FF1A2332"/>
      <name val="Calibri"/>
    </font>
    <font>
      <b/>
      <sz val="11"/>
      <color rgb="FFFFFFFF"/>
      <name val="Calibri"/>
    </font>
    <font>
      <sz val="10"/>
      <color rgb="FF1A2332"/>
      <name val="Calibri"/>
    </font>
    <font>
      <b/>
      <sz val="10"/>
      <color rgb="FF1A2332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1"/>
      <color rgb="FF1A233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714B67"/>
      </patternFill>
    </fill>
    <fill>
      <patternFill patternType="solid">
        <fgColor rgb="FFE8E0E7"/>
      </patternFill>
    </fill>
    <fill>
      <patternFill patternType="solid">
        <fgColor rgb="FFF5F2F4"/>
      </patternFill>
    </fill>
    <fill>
      <patternFill patternType="solid">
        <fgColor rgb="FFFFFFFF"/>
      </patternFill>
    </fill>
    <fill>
      <patternFill patternType="solid">
        <fgColor rgb="FFC9B8C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2"/>
  <sheetViews>
    <sheetView showGridLines="0" workbookViewId="0"/>
  </sheetViews>
  <sheetFormatPr defaultRowHeight="15" x14ac:dyDescent="0.25"/>
  <cols>
    <col min="1" max="1" width="3" customWidth="1"/>
    <col min="2" max="2" width="32" customWidth="1"/>
    <col min="3" max="8" width="14" customWidth="1"/>
    <col min="9" max="9" width="49.7109375" bestFit="1" customWidth="1"/>
  </cols>
  <sheetData>
    <row r="1" spans="2:9" ht="36" customHeight="1" x14ac:dyDescent="0.25">
      <c r="B1" s="21" t="s">
        <v>0</v>
      </c>
      <c r="C1" s="16"/>
      <c r="D1" s="16"/>
      <c r="E1" s="16"/>
      <c r="F1" s="16"/>
      <c r="G1" s="16"/>
      <c r="H1" s="16"/>
      <c r="I1" s="16"/>
    </row>
    <row r="2" spans="2:9" ht="18" customHeight="1" x14ac:dyDescent="0.25">
      <c r="B2" s="19" t="s">
        <v>1</v>
      </c>
      <c r="C2" s="16"/>
      <c r="D2" s="16"/>
      <c r="E2" s="16"/>
      <c r="F2" s="16"/>
      <c r="G2" s="16"/>
      <c r="H2" s="16"/>
      <c r="I2" s="16"/>
    </row>
    <row r="4" spans="2:9" ht="24" customHeight="1" x14ac:dyDescent="0.25">
      <c r="B4" s="17" t="s">
        <v>2</v>
      </c>
      <c r="C4" s="16"/>
      <c r="D4" s="17" t="s">
        <v>3</v>
      </c>
      <c r="E4" s="16"/>
      <c r="F4" s="17" t="s">
        <v>4</v>
      </c>
      <c r="G4" s="16"/>
    </row>
    <row r="5" spans="2:9" ht="51.95" customHeight="1" x14ac:dyDescent="0.25">
      <c r="B5" s="18">
        <v>462</v>
      </c>
      <c r="C5" s="16"/>
      <c r="D5" s="18">
        <v>408</v>
      </c>
      <c r="E5" s="16"/>
      <c r="F5" s="18">
        <v>202</v>
      </c>
      <c r="G5" s="16"/>
    </row>
    <row r="6" spans="2:9" ht="20.100000000000001" customHeight="1" x14ac:dyDescent="0.25">
      <c r="B6" s="15" t="s">
        <v>5</v>
      </c>
      <c r="C6" s="16"/>
      <c r="D6" s="15" t="s">
        <v>6</v>
      </c>
      <c r="E6" s="16"/>
      <c r="F6" s="15" t="s">
        <v>7</v>
      </c>
      <c r="G6" s="16"/>
    </row>
    <row r="8" spans="2:9" ht="21.95" customHeight="1" x14ac:dyDescent="0.25">
      <c r="B8" s="22" t="s">
        <v>8</v>
      </c>
      <c r="C8" s="16"/>
      <c r="D8" s="16"/>
      <c r="E8" s="16"/>
      <c r="F8" s="16"/>
      <c r="G8" s="16"/>
      <c r="H8" s="16"/>
      <c r="I8" s="16"/>
    </row>
    <row r="9" spans="2:9" ht="18" customHeight="1" x14ac:dyDescent="0.25"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</row>
    <row r="10" spans="2:9" ht="21.95" customHeight="1" x14ac:dyDescent="0.25">
      <c r="B10" s="3" t="s">
        <v>17</v>
      </c>
      <c r="C10" s="3" t="s">
        <v>18</v>
      </c>
      <c r="D10" s="4">
        <v>8</v>
      </c>
      <c r="E10" s="4">
        <v>22</v>
      </c>
      <c r="F10" s="4">
        <v>3</v>
      </c>
      <c r="G10" s="4">
        <v>4</v>
      </c>
      <c r="H10" s="4">
        <v>37</v>
      </c>
      <c r="I10" s="3" t="s">
        <v>19</v>
      </c>
    </row>
    <row r="11" spans="2:9" ht="21.95" customHeight="1" x14ac:dyDescent="0.25">
      <c r="B11" s="5" t="s">
        <v>20</v>
      </c>
      <c r="C11" s="5" t="s">
        <v>21</v>
      </c>
      <c r="D11" s="6">
        <v>3</v>
      </c>
      <c r="E11" s="6">
        <v>8</v>
      </c>
      <c r="F11" s="6">
        <v>10</v>
      </c>
      <c r="G11" s="6">
        <v>6</v>
      </c>
      <c r="H11" s="6">
        <v>27</v>
      </c>
      <c r="I11" s="5" t="s">
        <v>22</v>
      </c>
    </row>
    <row r="12" spans="2:9" ht="21.95" customHeight="1" x14ac:dyDescent="0.25">
      <c r="B12" s="3" t="s">
        <v>23</v>
      </c>
      <c r="C12" s="3" t="s">
        <v>24</v>
      </c>
      <c r="D12" s="4">
        <v>18</v>
      </c>
      <c r="E12" s="4">
        <v>35</v>
      </c>
      <c r="F12" s="4">
        <v>123</v>
      </c>
      <c r="G12" s="4">
        <v>44</v>
      </c>
      <c r="H12" s="4">
        <v>220</v>
      </c>
      <c r="I12" s="3" t="s">
        <v>25</v>
      </c>
    </row>
    <row r="13" spans="2:9" ht="21.95" customHeight="1" x14ac:dyDescent="0.25">
      <c r="B13" s="5" t="s">
        <v>26</v>
      </c>
      <c r="C13" s="5" t="s">
        <v>27</v>
      </c>
      <c r="D13" s="6">
        <v>5</v>
      </c>
      <c r="E13" s="6">
        <v>6</v>
      </c>
      <c r="F13" s="6">
        <v>12</v>
      </c>
      <c r="G13" s="6">
        <v>16</v>
      </c>
      <c r="H13" s="6">
        <v>39</v>
      </c>
      <c r="I13" s="5" t="s">
        <v>28</v>
      </c>
    </row>
    <row r="14" spans="2:9" ht="21.95" customHeight="1" x14ac:dyDescent="0.25">
      <c r="B14" s="3" t="s">
        <v>29</v>
      </c>
      <c r="C14" s="3" t="s">
        <v>30</v>
      </c>
      <c r="D14" s="4">
        <v>5</v>
      </c>
      <c r="E14" s="4">
        <v>12</v>
      </c>
      <c r="F14" s="4">
        <v>12</v>
      </c>
      <c r="G14" s="4">
        <v>8</v>
      </c>
      <c r="H14" s="4">
        <v>37</v>
      </c>
      <c r="I14" s="3" t="s">
        <v>31</v>
      </c>
    </row>
    <row r="15" spans="2:9" ht="21.95" customHeight="1" x14ac:dyDescent="0.25">
      <c r="B15" s="5" t="s">
        <v>32</v>
      </c>
      <c r="C15" s="5" t="s">
        <v>33</v>
      </c>
      <c r="D15" s="6">
        <v>4</v>
      </c>
      <c r="E15" s="6">
        <v>5</v>
      </c>
      <c r="F15" s="6">
        <v>8</v>
      </c>
      <c r="G15" s="6">
        <v>3</v>
      </c>
      <c r="H15" s="6">
        <v>20</v>
      </c>
      <c r="I15" s="5" t="s">
        <v>34</v>
      </c>
    </row>
    <row r="16" spans="2:9" ht="21.95" customHeight="1" x14ac:dyDescent="0.25">
      <c r="B16" s="3" t="s">
        <v>35</v>
      </c>
      <c r="C16" s="3" t="s">
        <v>36</v>
      </c>
      <c r="D16" s="4">
        <v>4</v>
      </c>
      <c r="E16" s="4">
        <v>5</v>
      </c>
      <c r="F16" s="4">
        <v>9</v>
      </c>
      <c r="G16" s="4">
        <v>3</v>
      </c>
      <c r="H16" s="4">
        <v>21</v>
      </c>
      <c r="I16" s="3" t="s">
        <v>37</v>
      </c>
    </row>
    <row r="17" spans="2:9" ht="25.5" x14ac:dyDescent="0.25">
      <c r="B17" s="7"/>
      <c r="C17" s="7" t="s">
        <v>38</v>
      </c>
      <c r="D17" s="8">
        <v>47</v>
      </c>
      <c r="E17" s="8">
        <v>93</v>
      </c>
      <c r="F17" s="8">
        <v>177</v>
      </c>
      <c r="G17" s="8">
        <v>84</v>
      </c>
      <c r="H17" s="8">
        <v>401</v>
      </c>
      <c r="I17" s="9"/>
    </row>
    <row r="18" spans="2:9" ht="25.5" x14ac:dyDescent="0.25">
      <c r="B18" s="7"/>
      <c r="C18" s="7" t="s">
        <v>39</v>
      </c>
      <c r="D18" s="8">
        <v>7</v>
      </c>
      <c r="E18" s="8">
        <v>14</v>
      </c>
      <c r="F18" s="8">
        <v>27</v>
      </c>
      <c r="G18" s="8">
        <v>13</v>
      </c>
      <c r="H18" s="8">
        <v>61</v>
      </c>
      <c r="I18" s="9"/>
    </row>
    <row r="19" spans="2:9" ht="25.5" x14ac:dyDescent="0.25">
      <c r="B19" s="10"/>
      <c r="C19" s="10" t="s">
        <v>40</v>
      </c>
      <c r="D19" s="11">
        <v>54</v>
      </c>
      <c r="E19" s="11">
        <v>107</v>
      </c>
      <c r="F19" s="11">
        <v>204</v>
      </c>
      <c r="G19" s="11">
        <v>97</v>
      </c>
      <c r="H19" s="11">
        <v>462</v>
      </c>
      <c r="I19" s="10" t="s">
        <v>41</v>
      </c>
    </row>
    <row r="20" spans="2:9" ht="36" x14ac:dyDescent="0.25">
      <c r="B20" s="10"/>
      <c r="C20" s="10" t="s">
        <v>42</v>
      </c>
      <c r="D20" s="10" t="s">
        <v>43</v>
      </c>
      <c r="E20" s="11">
        <v>107</v>
      </c>
      <c r="F20" s="11">
        <v>204</v>
      </c>
      <c r="G20" s="11">
        <v>97</v>
      </c>
      <c r="H20" s="11">
        <v>408</v>
      </c>
      <c r="I20" s="12" t="s">
        <v>44</v>
      </c>
    </row>
    <row r="22" spans="2:9" ht="32.1" customHeight="1" x14ac:dyDescent="0.25">
      <c r="B22" s="20" t="s">
        <v>45</v>
      </c>
      <c r="C22" s="16"/>
      <c r="D22" s="16"/>
      <c r="E22" s="16"/>
      <c r="F22" s="16"/>
      <c r="G22" s="16"/>
      <c r="H22" s="16"/>
      <c r="I22" s="16"/>
    </row>
  </sheetData>
  <mergeCells count="13">
    <mergeCell ref="B22:I22"/>
    <mergeCell ref="B1:I1"/>
    <mergeCell ref="B8:I8"/>
    <mergeCell ref="B4:C4"/>
    <mergeCell ref="D6:E6"/>
    <mergeCell ref="B6:C6"/>
    <mergeCell ref="F4:G4"/>
    <mergeCell ref="B5:C5"/>
    <mergeCell ref="B2:I2"/>
    <mergeCell ref="F5:G5"/>
    <mergeCell ref="D5:E5"/>
    <mergeCell ref="F6:G6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9" sqref="H9"/>
    </sheetView>
  </sheetViews>
  <sheetFormatPr defaultRowHeight="15" x14ac:dyDescent="0.25"/>
  <cols>
    <col min="1" max="1" width="4" customWidth="1"/>
    <col min="2" max="2" width="38" customWidth="1"/>
    <col min="3" max="6" width="10" customWidth="1"/>
    <col min="7" max="8" width="12" customWidth="1"/>
    <col min="9" max="9" width="60" bestFit="1" customWidth="1"/>
  </cols>
  <sheetData>
    <row r="1" spans="1:9" ht="30" customHeight="1" x14ac:dyDescent="0.25">
      <c r="B1" s="23" t="s">
        <v>46</v>
      </c>
      <c r="C1" s="16"/>
      <c r="D1" s="16"/>
      <c r="E1" s="16"/>
      <c r="F1" s="16"/>
      <c r="G1" s="16"/>
      <c r="H1" s="16"/>
      <c r="I1" s="16"/>
    </row>
    <row r="2" spans="1:9" ht="20.100000000000001" customHeight="1" x14ac:dyDescent="0.25">
      <c r="A2" s="2" t="s">
        <v>9</v>
      </c>
      <c r="B2" s="2" t="s">
        <v>47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48</v>
      </c>
      <c r="H2" s="2" t="s">
        <v>16</v>
      </c>
    </row>
    <row r="3" spans="1:9" ht="24" customHeight="1" x14ac:dyDescent="0.25">
      <c r="A3" s="3" t="s">
        <v>17</v>
      </c>
      <c r="B3" s="3" t="s">
        <v>18</v>
      </c>
      <c r="C3" s="4">
        <v>22</v>
      </c>
      <c r="D3" s="4">
        <v>3</v>
      </c>
      <c r="E3" s="4">
        <v>4</v>
      </c>
      <c r="F3" s="4">
        <f>SUM(C3:E3)</f>
        <v>29</v>
      </c>
      <c r="G3" s="4" t="s">
        <v>49</v>
      </c>
      <c r="H3" s="3" t="s">
        <v>50</v>
      </c>
    </row>
    <row r="4" spans="1:9" ht="24" customHeight="1" x14ac:dyDescent="0.25">
      <c r="A4" s="5" t="s">
        <v>20</v>
      </c>
      <c r="B4" s="5" t="s">
        <v>21</v>
      </c>
      <c r="C4" s="6">
        <v>8</v>
      </c>
      <c r="D4" s="6">
        <v>10</v>
      </c>
      <c r="E4" s="6">
        <v>6</v>
      </c>
      <c r="F4" s="4">
        <f t="shared" ref="F4:F9" si="0">SUM(C4:E4)</f>
        <v>24</v>
      </c>
      <c r="G4" s="6" t="s">
        <v>51</v>
      </c>
      <c r="H4" s="5" t="s">
        <v>52</v>
      </c>
    </row>
    <row r="5" spans="1:9" ht="24" customHeight="1" x14ac:dyDescent="0.25">
      <c r="A5" s="3" t="s">
        <v>23</v>
      </c>
      <c r="B5" s="3" t="s">
        <v>53</v>
      </c>
      <c r="C5" s="4">
        <v>35</v>
      </c>
      <c r="D5" s="4">
        <v>123</v>
      </c>
      <c r="E5" s="4">
        <v>44</v>
      </c>
      <c r="F5" s="4">
        <f t="shared" si="0"/>
        <v>202</v>
      </c>
      <c r="G5" s="4" t="s">
        <v>54</v>
      </c>
      <c r="H5" s="3" t="s">
        <v>55</v>
      </c>
    </row>
    <row r="6" spans="1:9" ht="24" customHeight="1" x14ac:dyDescent="0.25">
      <c r="A6" s="5" t="s">
        <v>26</v>
      </c>
      <c r="B6" s="5" t="s">
        <v>27</v>
      </c>
      <c r="C6" s="6">
        <v>6</v>
      </c>
      <c r="D6" s="6">
        <v>12</v>
      </c>
      <c r="E6" s="6">
        <v>16</v>
      </c>
      <c r="F6" s="4">
        <f t="shared" si="0"/>
        <v>34</v>
      </c>
      <c r="G6" s="6" t="s">
        <v>56</v>
      </c>
      <c r="H6" s="5" t="s">
        <v>57</v>
      </c>
    </row>
    <row r="7" spans="1:9" ht="24" customHeight="1" x14ac:dyDescent="0.25">
      <c r="A7" s="3" t="s">
        <v>29</v>
      </c>
      <c r="B7" s="3" t="s">
        <v>30</v>
      </c>
      <c r="C7" s="4">
        <v>12</v>
      </c>
      <c r="D7" s="4">
        <v>12</v>
      </c>
      <c r="E7" s="4">
        <v>8</v>
      </c>
      <c r="F7" s="4">
        <f t="shared" si="0"/>
        <v>32</v>
      </c>
      <c r="G7" s="4" t="s">
        <v>49</v>
      </c>
      <c r="H7" s="3" t="s">
        <v>58</v>
      </c>
    </row>
    <row r="8" spans="1:9" ht="24" customHeight="1" x14ac:dyDescent="0.25">
      <c r="A8" s="5" t="s">
        <v>32</v>
      </c>
      <c r="B8" s="5" t="s">
        <v>33</v>
      </c>
      <c r="C8" s="6">
        <v>5</v>
      </c>
      <c r="D8" s="6">
        <v>8</v>
      </c>
      <c r="E8" s="6">
        <v>3</v>
      </c>
      <c r="F8" s="4">
        <f t="shared" si="0"/>
        <v>16</v>
      </c>
      <c r="G8" s="6" t="s">
        <v>59</v>
      </c>
      <c r="H8" s="5" t="s">
        <v>60</v>
      </c>
    </row>
    <row r="9" spans="1:9" ht="24" customHeight="1" x14ac:dyDescent="0.25">
      <c r="A9" s="3" t="s">
        <v>35</v>
      </c>
      <c r="B9" s="3" t="s">
        <v>36</v>
      </c>
      <c r="C9" s="4">
        <v>5</v>
      </c>
      <c r="D9" s="4">
        <v>9</v>
      </c>
      <c r="E9" s="4">
        <v>3</v>
      </c>
      <c r="F9" s="4">
        <f t="shared" si="0"/>
        <v>17</v>
      </c>
      <c r="G9" s="4" t="s">
        <v>61</v>
      </c>
      <c r="H9" s="3" t="s">
        <v>62</v>
      </c>
    </row>
    <row r="10" spans="1:9" x14ac:dyDescent="0.25">
      <c r="A10" s="7"/>
      <c r="B10" s="7" t="s">
        <v>38</v>
      </c>
      <c r="C10" s="8">
        <v>93</v>
      </c>
      <c r="D10" s="8">
        <v>177</v>
      </c>
      <c r="E10" s="8">
        <v>84</v>
      </c>
      <c r="F10" s="8">
        <f>SUM(C10:E10)</f>
        <v>354</v>
      </c>
      <c r="G10" s="8" t="s">
        <v>63</v>
      </c>
      <c r="H10" s="9"/>
    </row>
    <row r="11" spans="1:9" x14ac:dyDescent="0.25">
      <c r="A11" s="7"/>
      <c r="B11" s="8" t="s">
        <v>39</v>
      </c>
      <c r="C11" s="8">
        <v>14</v>
      </c>
      <c r="D11" s="8">
        <v>27</v>
      </c>
      <c r="E11" s="8">
        <v>13</v>
      </c>
      <c r="F11" s="8">
        <f>SUM(C11:E11)</f>
        <v>54</v>
      </c>
      <c r="G11" s="8" t="s">
        <v>64</v>
      </c>
      <c r="H11" s="9"/>
    </row>
    <row r="12" spans="1:9" x14ac:dyDescent="0.25">
      <c r="A12" s="10"/>
      <c r="B12" s="10" t="s">
        <v>40</v>
      </c>
      <c r="C12" s="11">
        <v>107</v>
      </c>
      <c r="D12" s="11">
        <v>204</v>
      </c>
      <c r="E12" s="11">
        <v>97</v>
      </c>
      <c r="F12" s="11">
        <f>SUM(C12:E12)</f>
        <v>408</v>
      </c>
      <c r="G12" s="11" t="s">
        <v>65</v>
      </c>
      <c r="H12" s="10"/>
    </row>
    <row r="14" spans="1:9" ht="39.950000000000003" customHeight="1" x14ac:dyDescent="0.25">
      <c r="A14" s="20" t="s">
        <v>66</v>
      </c>
      <c r="B14" s="16"/>
      <c r="C14" s="16"/>
      <c r="D14" s="16"/>
      <c r="E14" s="16"/>
      <c r="F14" s="16"/>
      <c r="G14" s="16"/>
      <c r="H14" s="16"/>
      <c r="I14" s="16"/>
    </row>
  </sheetData>
  <mergeCells count="2">
    <mergeCell ref="A14:I14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showGridLines="0" tabSelected="1" workbookViewId="0">
      <pane ySplit="2" topLeftCell="A81" activePane="bottomLeft" state="frozen"/>
      <selection pane="bottomLeft" activeCell="H96" sqref="H96"/>
    </sheetView>
  </sheetViews>
  <sheetFormatPr defaultRowHeight="15" x14ac:dyDescent="0.25"/>
  <cols>
    <col min="1" max="2" width="5" customWidth="1"/>
    <col min="3" max="3" width="16" customWidth="1"/>
    <col min="4" max="4" width="22" customWidth="1"/>
    <col min="5" max="5" width="38" customWidth="1"/>
    <col min="6" max="6" width="24" customWidth="1"/>
    <col min="7" max="7" width="13" customWidth="1"/>
    <col min="8" max="8" width="11" customWidth="1"/>
    <col min="9" max="11" width="6" customWidth="1"/>
    <col min="12" max="12" width="9.42578125" customWidth="1"/>
  </cols>
  <sheetData>
    <row r="1" spans="1:12" ht="27.95" customHeight="1" x14ac:dyDescent="0.25">
      <c r="A1" s="26" t="s">
        <v>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1.95" customHeight="1" x14ac:dyDescent="0.25">
      <c r="A2" s="2" t="s">
        <v>9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12</v>
      </c>
      <c r="J2" s="2" t="s">
        <v>13</v>
      </c>
      <c r="K2" s="2" t="s">
        <v>14</v>
      </c>
      <c r="L2" s="2" t="s">
        <v>15</v>
      </c>
    </row>
    <row r="3" spans="1:12" ht="18" customHeight="1" x14ac:dyDescent="0.25">
      <c r="A3" s="24" t="s">
        <v>75</v>
      </c>
      <c r="B3" s="16"/>
      <c r="C3" s="16"/>
      <c r="D3" s="16"/>
      <c r="E3" s="16"/>
      <c r="F3" s="16"/>
      <c r="G3" s="16"/>
      <c r="H3" s="16"/>
      <c r="I3" s="1">
        <v>2</v>
      </c>
      <c r="J3" s="1">
        <v>12</v>
      </c>
      <c r="K3" s="1">
        <v>3</v>
      </c>
      <c r="L3" s="1">
        <v>17</v>
      </c>
    </row>
    <row r="4" spans="1:12" ht="27.95" customHeight="1" x14ac:dyDescent="0.25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4">
        <v>0</v>
      </c>
      <c r="J4" s="4">
        <v>2</v>
      </c>
      <c r="K4" s="13">
        <v>0.5</v>
      </c>
      <c r="L4" s="13">
        <v>2.5</v>
      </c>
    </row>
    <row r="5" spans="1:12" ht="27.95" customHeight="1" x14ac:dyDescent="0.25">
      <c r="A5" s="5" t="s">
        <v>84</v>
      </c>
      <c r="B5" s="5" t="s">
        <v>77</v>
      </c>
      <c r="C5" s="5" t="s">
        <v>78</v>
      </c>
      <c r="D5" s="5" t="s">
        <v>85</v>
      </c>
      <c r="E5" s="5" t="s">
        <v>86</v>
      </c>
      <c r="F5" s="5" t="s">
        <v>87</v>
      </c>
      <c r="G5" s="5" t="s">
        <v>88</v>
      </c>
      <c r="H5" s="5" t="s">
        <v>89</v>
      </c>
      <c r="I5" s="6">
        <v>1</v>
      </c>
      <c r="J5" s="6">
        <v>6</v>
      </c>
      <c r="K5" s="14">
        <v>1.5</v>
      </c>
      <c r="L5" s="14">
        <v>8.5</v>
      </c>
    </row>
    <row r="6" spans="1:12" ht="27.95" customHeight="1" x14ac:dyDescent="0.25">
      <c r="A6" s="3" t="s">
        <v>90</v>
      </c>
      <c r="B6" s="3" t="s">
        <v>77</v>
      </c>
      <c r="C6" s="3" t="s">
        <v>78</v>
      </c>
      <c r="D6" s="3" t="s">
        <v>91</v>
      </c>
      <c r="E6" s="3" t="s">
        <v>92</v>
      </c>
      <c r="F6" s="3" t="s">
        <v>81</v>
      </c>
      <c r="G6" s="3" t="s">
        <v>82</v>
      </c>
      <c r="H6" s="3" t="s">
        <v>83</v>
      </c>
      <c r="I6" s="13">
        <v>0.5</v>
      </c>
      <c r="J6" s="4">
        <v>2</v>
      </c>
      <c r="K6" s="13">
        <v>0.5</v>
      </c>
      <c r="L6" s="4">
        <v>3</v>
      </c>
    </row>
    <row r="7" spans="1:12" ht="27.95" customHeight="1" x14ac:dyDescent="0.25">
      <c r="A7" s="5" t="s">
        <v>93</v>
      </c>
      <c r="B7" s="5" t="s">
        <v>77</v>
      </c>
      <c r="C7" s="5" t="s">
        <v>78</v>
      </c>
      <c r="D7" s="5" t="s">
        <v>94</v>
      </c>
      <c r="E7" s="5" t="s">
        <v>95</v>
      </c>
      <c r="F7" s="5" t="s">
        <v>96</v>
      </c>
      <c r="G7" s="5" t="s">
        <v>82</v>
      </c>
      <c r="H7" s="5" t="s">
        <v>83</v>
      </c>
      <c r="I7" s="6">
        <v>0</v>
      </c>
      <c r="J7" s="6">
        <v>1</v>
      </c>
      <c r="K7" s="6">
        <v>0</v>
      </c>
      <c r="L7" s="6">
        <v>1</v>
      </c>
    </row>
    <row r="8" spans="1:12" ht="27.95" customHeight="1" x14ac:dyDescent="0.25">
      <c r="A8" s="3" t="s">
        <v>97</v>
      </c>
      <c r="B8" s="3" t="s">
        <v>77</v>
      </c>
      <c r="C8" s="3" t="s">
        <v>78</v>
      </c>
      <c r="D8" s="3" t="s">
        <v>98</v>
      </c>
      <c r="E8" s="3" t="s">
        <v>99</v>
      </c>
      <c r="F8" s="3" t="s">
        <v>81</v>
      </c>
      <c r="G8" s="3" t="s">
        <v>88</v>
      </c>
      <c r="H8" s="3" t="s">
        <v>83</v>
      </c>
      <c r="I8" s="13">
        <v>0.5</v>
      </c>
      <c r="J8" s="4">
        <v>1</v>
      </c>
      <c r="K8" s="13">
        <v>0.5</v>
      </c>
      <c r="L8" s="4">
        <v>2</v>
      </c>
    </row>
    <row r="9" spans="1:12" ht="18" customHeight="1" x14ac:dyDescent="0.25">
      <c r="A9" s="24" t="s">
        <v>100</v>
      </c>
      <c r="B9" s="16"/>
      <c r="C9" s="16"/>
      <c r="D9" s="16"/>
      <c r="E9" s="16"/>
      <c r="F9" s="16"/>
      <c r="G9" s="16"/>
      <c r="H9" s="16"/>
      <c r="I9" s="1">
        <v>6</v>
      </c>
      <c r="J9" s="1">
        <v>14</v>
      </c>
      <c r="K9" s="1">
        <v>4</v>
      </c>
      <c r="L9" s="1">
        <v>24</v>
      </c>
    </row>
    <row r="10" spans="1:12" ht="27.95" customHeight="1" x14ac:dyDescent="0.25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 t="s">
        <v>81</v>
      </c>
      <c r="G10" s="3" t="s">
        <v>82</v>
      </c>
      <c r="H10" s="3" t="s">
        <v>83</v>
      </c>
      <c r="I10" s="13">
        <v>0.5</v>
      </c>
      <c r="J10" s="13">
        <v>0.5</v>
      </c>
      <c r="K10" s="4">
        <v>0</v>
      </c>
      <c r="L10" s="4">
        <v>1</v>
      </c>
    </row>
    <row r="11" spans="1:12" ht="27.95" customHeight="1" x14ac:dyDescent="0.25">
      <c r="A11" s="5" t="s">
        <v>106</v>
      </c>
      <c r="B11" s="5" t="s">
        <v>102</v>
      </c>
      <c r="C11" s="5" t="s">
        <v>103</v>
      </c>
      <c r="D11" s="5" t="s">
        <v>107</v>
      </c>
      <c r="E11" s="5" t="s">
        <v>108</v>
      </c>
      <c r="F11" s="5" t="s">
        <v>81</v>
      </c>
      <c r="G11" s="5" t="s">
        <v>82</v>
      </c>
      <c r="H11" s="5" t="s">
        <v>83</v>
      </c>
      <c r="I11" s="14">
        <v>0.5</v>
      </c>
      <c r="J11" s="14">
        <v>0.5</v>
      </c>
      <c r="K11" s="6">
        <v>0</v>
      </c>
      <c r="L11" s="6">
        <v>1</v>
      </c>
    </row>
    <row r="12" spans="1:12" ht="27.95" customHeight="1" x14ac:dyDescent="0.25">
      <c r="A12" s="3" t="s">
        <v>109</v>
      </c>
      <c r="B12" s="3" t="s">
        <v>102</v>
      </c>
      <c r="C12" s="3" t="s">
        <v>103</v>
      </c>
      <c r="D12" s="3" t="s">
        <v>110</v>
      </c>
      <c r="E12" s="3" t="s">
        <v>111</v>
      </c>
      <c r="F12" s="3" t="s">
        <v>81</v>
      </c>
      <c r="G12" s="3" t="s">
        <v>82</v>
      </c>
      <c r="H12" s="3" t="s">
        <v>83</v>
      </c>
      <c r="I12" s="13">
        <v>0.5</v>
      </c>
      <c r="J12" s="13">
        <v>0.5</v>
      </c>
      <c r="K12" s="4">
        <v>0</v>
      </c>
      <c r="L12" s="4">
        <v>1</v>
      </c>
    </row>
    <row r="13" spans="1:12" ht="27.95" customHeight="1" x14ac:dyDescent="0.25">
      <c r="A13" s="5" t="s">
        <v>112</v>
      </c>
      <c r="B13" s="5" t="s">
        <v>102</v>
      </c>
      <c r="C13" s="5" t="s">
        <v>103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83</v>
      </c>
      <c r="I13" s="14">
        <v>0.5</v>
      </c>
      <c r="J13" s="14">
        <v>1.5</v>
      </c>
      <c r="K13" s="14">
        <v>0.5</v>
      </c>
      <c r="L13" s="14">
        <v>2.5</v>
      </c>
    </row>
    <row r="14" spans="1:12" ht="27.95" customHeight="1" x14ac:dyDescent="0.25">
      <c r="A14" s="3" t="s">
        <v>117</v>
      </c>
      <c r="B14" s="3" t="s">
        <v>102</v>
      </c>
      <c r="C14" s="3" t="s">
        <v>103</v>
      </c>
      <c r="D14" s="3" t="s">
        <v>118</v>
      </c>
      <c r="E14" s="3" t="s">
        <v>114</v>
      </c>
      <c r="F14" s="3" t="s">
        <v>115</v>
      </c>
      <c r="G14" s="3" t="s">
        <v>116</v>
      </c>
      <c r="H14" s="3" t="s">
        <v>83</v>
      </c>
      <c r="I14" s="13">
        <v>0.5</v>
      </c>
      <c r="J14" s="13">
        <v>1.5</v>
      </c>
      <c r="K14" s="13">
        <v>0.5</v>
      </c>
      <c r="L14" s="13">
        <v>2.5</v>
      </c>
    </row>
    <row r="15" spans="1:12" ht="27.95" customHeight="1" x14ac:dyDescent="0.25">
      <c r="A15" s="5" t="s">
        <v>119</v>
      </c>
      <c r="B15" s="5" t="s">
        <v>102</v>
      </c>
      <c r="C15" s="5" t="s">
        <v>103</v>
      </c>
      <c r="D15" s="5" t="s">
        <v>120</v>
      </c>
      <c r="E15" s="5" t="s">
        <v>121</v>
      </c>
      <c r="F15" s="5" t="s">
        <v>115</v>
      </c>
      <c r="G15" s="5" t="s">
        <v>116</v>
      </c>
      <c r="H15" s="5" t="s">
        <v>83</v>
      </c>
      <c r="I15" s="14">
        <v>0.5</v>
      </c>
      <c r="J15" s="14">
        <v>1.5</v>
      </c>
      <c r="K15" s="14">
        <v>0.5</v>
      </c>
      <c r="L15" s="14">
        <v>2.5</v>
      </c>
    </row>
    <row r="16" spans="1:12" ht="27.95" customHeight="1" x14ac:dyDescent="0.25">
      <c r="A16" s="3" t="s">
        <v>122</v>
      </c>
      <c r="B16" s="3" t="s">
        <v>102</v>
      </c>
      <c r="C16" s="3" t="s">
        <v>103</v>
      </c>
      <c r="D16" s="3" t="s">
        <v>123</v>
      </c>
      <c r="E16" s="3" t="s">
        <v>124</v>
      </c>
      <c r="F16" s="3" t="s">
        <v>115</v>
      </c>
      <c r="G16" s="3" t="s">
        <v>116</v>
      </c>
      <c r="H16" s="3" t="s">
        <v>83</v>
      </c>
      <c r="I16" s="13">
        <v>0.5</v>
      </c>
      <c r="J16" s="4">
        <v>2</v>
      </c>
      <c r="K16" s="4">
        <v>1</v>
      </c>
      <c r="L16" s="13">
        <v>3.5</v>
      </c>
    </row>
    <row r="17" spans="1:12" ht="27.95" customHeight="1" x14ac:dyDescent="0.25">
      <c r="A17" s="5" t="s">
        <v>125</v>
      </c>
      <c r="B17" s="5" t="s">
        <v>102</v>
      </c>
      <c r="C17" s="5" t="s">
        <v>103</v>
      </c>
      <c r="D17" s="5" t="s">
        <v>126</v>
      </c>
      <c r="E17" s="5" t="s">
        <v>127</v>
      </c>
      <c r="F17" s="5" t="s">
        <v>128</v>
      </c>
      <c r="G17" s="5" t="s">
        <v>116</v>
      </c>
      <c r="H17" s="5" t="s">
        <v>83</v>
      </c>
      <c r="I17" s="14">
        <v>0.5</v>
      </c>
      <c r="J17" s="6">
        <v>2</v>
      </c>
      <c r="K17" s="14">
        <v>0.5</v>
      </c>
      <c r="L17" s="6">
        <v>3</v>
      </c>
    </row>
    <row r="18" spans="1:12" ht="27.95" customHeight="1" x14ac:dyDescent="0.25">
      <c r="A18" s="3" t="s">
        <v>129</v>
      </c>
      <c r="B18" s="3" t="s">
        <v>102</v>
      </c>
      <c r="C18" s="3" t="s">
        <v>103</v>
      </c>
      <c r="D18" s="3" t="s">
        <v>130</v>
      </c>
      <c r="E18" s="3" t="s">
        <v>131</v>
      </c>
      <c r="F18" s="3" t="s">
        <v>115</v>
      </c>
      <c r="G18" s="3" t="s">
        <v>116</v>
      </c>
      <c r="H18" s="3" t="s">
        <v>83</v>
      </c>
      <c r="I18" s="13">
        <v>0.5</v>
      </c>
      <c r="J18" s="13">
        <v>1.5</v>
      </c>
      <c r="K18" s="13">
        <v>0.5</v>
      </c>
      <c r="L18" s="13">
        <v>2.5</v>
      </c>
    </row>
    <row r="19" spans="1:12" ht="27.95" customHeight="1" x14ac:dyDescent="0.25">
      <c r="A19" s="5" t="s">
        <v>132</v>
      </c>
      <c r="B19" s="5" t="s">
        <v>102</v>
      </c>
      <c r="C19" s="5" t="s">
        <v>103</v>
      </c>
      <c r="D19" s="5" t="s">
        <v>133</v>
      </c>
      <c r="E19" s="5" t="s">
        <v>134</v>
      </c>
      <c r="F19" s="5" t="s">
        <v>81</v>
      </c>
      <c r="G19" s="5" t="s">
        <v>82</v>
      </c>
      <c r="H19" s="5" t="s">
        <v>83</v>
      </c>
      <c r="I19" s="14">
        <v>0.5</v>
      </c>
      <c r="J19" s="6">
        <v>1</v>
      </c>
      <c r="K19" s="14">
        <v>0.5</v>
      </c>
      <c r="L19" s="6">
        <v>2</v>
      </c>
    </row>
    <row r="20" spans="1:12" ht="27.95" customHeight="1" x14ac:dyDescent="0.25">
      <c r="A20" s="3" t="s">
        <v>135</v>
      </c>
      <c r="B20" s="3" t="s">
        <v>102</v>
      </c>
      <c r="C20" s="3" t="s">
        <v>103</v>
      </c>
      <c r="D20" s="3" t="s">
        <v>136</v>
      </c>
      <c r="E20" s="3" t="s">
        <v>137</v>
      </c>
      <c r="F20" s="3" t="s">
        <v>115</v>
      </c>
      <c r="G20" s="3" t="s">
        <v>116</v>
      </c>
      <c r="H20" s="3" t="s">
        <v>83</v>
      </c>
      <c r="I20" s="13">
        <v>0.5</v>
      </c>
      <c r="J20" s="13">
        <v>0.5</v>
      </c>
      <c r="K20" s="4">
        <v>0</v>
      </c>
      <c r="L20" s="4">
        <v>1</v>
      </c>
    </row>
    <row r="21" spans="1:12" ht="27.95" customHeight="1" x14ac:dyDescent="0.25">
      <c r="A21" s="5" t="s">
        <v>138</v>
      </c>
      <c r="B21" s="5" t="s">
        <v>102</v>
      </c>
      <c r="C21" s="5" t="s">
        <v>103</v>
      </c>
      <c r="D21" s="5" t="s">
        <v>139</v>
      </c>
      <c r="E21" s="5" t="s">
        <v>140</v>
      </c>
      <c r="F21" s="5" t="s">
        <v>115</v>
      </c>
      <c r="G21" s="5" t="s">
        <v>141</v>
      </c>
      <c r="H21" s="5" t="s">
        <v>83</v>
      </c>
      <c r="I21" s="6">
        <v>0</v>
      </c>
      <c r="J21" s="14">
        <v>0.5</v>
      </c>
      <c r="K21" s="6">
        <v>0</v>
      </c>
      <c r="L21" s="14">
        <v>0.5</v>
      </c>
    </row>
    <row r="22" spans="1:12" ht="27.95" customHeight="1" x14ac:dyDescent="0.25">
      <c r="A22" s="3" t="s">
        <v>142</v>
      </c>
      <c r="B22" s="3" t="s">
        <v>102</v>
      </c>
      <c r="C22" s="3" t="s">
        <v>103</v>
      </c>
      <c r="D22" s="3" t="s">
        <v>143</v>
      </c>
      <c r="E22" s="3" t="s">
        <v>144</v>
      </c>
      <c r="F22" s="3" t="s">
        <v>115</v>
      </c>
      <c r="G22" s="3" t="s">
        <v>116</v>
      </c>
      <c r="H22" s="3" t="s">
        <v>83</v>
      </c>
      <c r="I22" s="13">
        <v>0.5</v>
      </c>
      <c r="J22" s="13">
        <v>0.5</v>
      </c>
      <c r="K22" s="13">
        <v>0.5</v>
      </c>
      <c r="L22" s="13">
        <v>1.5</v>
      </c>
    </row>
    <row r="23" spans="1:12" ht="18" customHeight="1" x14ac:dyDescent="0.25">
      <c r="A23" s="24" t="s">
        <v>145</v>
      </c>
      <c r="B23" s="16"/>
      <c r="C23" s="16"/>
      <c r="D23" s="16"/>
      <c r="E23" s="16"/>
      <c r="F23" s="16"/>
      <c r="G23" s="16"/>
      <c r="H23" s="16"/>
      <c r="I23" s="1">
        <v>4</v>
      </c>
      <c r="J23" s="1">
        <v>14</v>
      </c>
      <c r="K23" s="1">
        <v>5</v>
      </c>
      <c r="L23" s="1">
        <v>23</v>
      </c>
    </row>
    <row r="24" spans="1:12" ht="27.95" customHeight="1" x14ac:dyDescent="0.25">
      <c r="A24" s="3" t="s">
        <v>146</v>
      </c>
      <c r="B24" s="3" t="s">
        <v>147</v>
      </c>
      <c r="C24" s="3" t="s">
        <v>148</v>
      </c>
      <c r="D24" s="3" t="s">
        <v>149</v>
      </c>
      <c r="E24" s="3" t="s">
        <v>150</v>
      </c>
      <c r="F24" s="3" t="s">
        <v>81</v>
      </c>
      <c r="G24" s="3" t="s">
        <v>82</v>
      </c>
      <c r="H24" s="3" t="s">
        <v>83</v>
      </c>
      <c r="I24" s="13">
        <v>0.5</v>
      </c>
      <c r="J24" s="13">
        <v>1.5</v>
      </c>
      <c r="K24" s="13">
        <v>0.5</v>
      </c>
      <c r="L24" s="13">
        <v>2.5</v>
      </c>
    </row>
    <row r="25" spans="1:12" ht="27.95" customHeight="1" x14ac:dyDescent="0.25">
      <c r="A25" s="5" t="s">
        <v>151</v>
      </c>
      <c r="B25" s="5" t="s">
        <v>147</v>
      </c>
      <c r="C25" s="5" t="s">
        <v>148</v>
      </c>
      <c r="D25" s="5" t="s">
        <v>152</v>
      </c>
      <c r="E25" s="5" t="s">
        <v>153</v>
      </c>
      <c r="F25" s="5" t="s">
        <v>81</v>
      </c>
      <c r="G25" s="5" t="s">
        <v>82</v>
      </c>
      <c r="H25" s="5" t="s">
        <v>89</v>
      </c>
      <c r="I25" s="6">
        <v>1</v>
      </c>
      <c r="J25" s="6">
        <v>3</v>
      </c>
      <c r="K25" s="6">
        <v>1</v>
      </c>
      <c r="L25" s="6">
        <v>5</v>
      </c>
    </row>
    <row r="26" spans="1:12" ht="27.95" customHeight="1" x14ac:dyDescent="0.25">
      <c r="A26" s="3" t="s">
        <v>154</v>
      </c>
      <c r="B26" s="3" t="s">
        <v>147</v>
      </c>
      <c r="C26" s="3" t="s">
        <v>148</v>
      </c>
      <c r="D26" s="3" t="s">
        <v>155</v>
      </c>
      <c r="E26" s="3" t="s">
        <v>156</v>
      </c>
      <c r="F26" s="3" t="s">
        <v>115</v>
      </c>
      <c r="G26" s="3" t="s">
        <v>116</v>
      </c>
      <c r="H26" s="3" t="s">
        <v>83</v>
      </c>
      <c r="I26" s="13">
        <v>0.5</v>
      </c>
      <c r="J26" s="4">
        <v>2</v>
      </c>
      <c r="K26" s="13">
        <v>0.5</v>
      </c>
      <c r="L26" s="4">
        <v>3</v>
      </c>
    </row>
    <row r="27" spans="1:12" ht="27.95" customHeight="1" x14ac:dyDescent="0.25">
      <c r="A27" s="5" t="s">
        <v>157</v>
      </c>
      <c r="B27" s="5" t="s">
        <v>147</v>
      </c>
      <c r="C27" s="5" t="s">
        <v>148</v>
      </c>
      <c r="D27" s="5" t="s">
        <v>158</v>
      </c>
      <c r="E27" s="5" t="s">
        <v>159</v>
      </c>
      <c r="F27" s="5" t="s">
        <v>81</v>
      </c>
      <c r="G27" s="5" t="s">
        <v>82</v>
      </c>
      <c r="H27" s="5" t="s">
        <v>83</v>
      </c>
      <c r="I27" s="14">
        <v>0.5</v>
      </c>
      <c r="J27" s="14">
        <v>1.5</v>
      </c>
      <c r="K27" s="14">
        <v>0.5</v>
      </c>
      <c r="L27" s="14">
        <v>2.5</v>
      </c>
    </row>
    <row r="28" spans="1:12" ht="27.95" customHeight="1" x14ac:dyDescent="0.25">
      <c r="A28" s="3" t="s">
        <v>160</v>
      </c>
      <c r="B28" s="3" t="s">
        <v>147</v>
      </c>
      <c r="C28" s="3" t="s">
        <v>148</v>
      </c>
      <c r="D28" s="3" t="s">
        <v>161</v>
      </c>
      <c r="E28" s="3" t="s">
        <v>162</v>
      </c>
      <c r="F28" s="3" t="s">
        <v>115</v>
      </c>
      <c r="G28" s="3" t="s">
        <v>116</v>
      </c>
      <c r="H28" s="3" t="s">
        <v>83</v>
      </c>
      <c r="I28" s="13">
        <v>0.5</v>
      </c>
      <c r="J28" s="4">
        <v>2</v>
      </c>
      <c r="K28" s="13">
        <v>0.5</v>
      </c>
      <c r="L28" s="4">
        <v>3</v>
      </c>
    </row>
    <row r="29" spans="1:12" ht="27.95" customHeight="1" x14ac:dyDescent="0.25">
      <c r="A29" s="5" t="s">
        <v>163</v>
      </c>
      <c r="B29" s="5" t="s">
        <v>147</v>
      </c>
      <c r="C29" s="5" t="s">
        <v>164</v>
      </c>
      <c r="D29" s="5" t="s">
        <v>165</v>
      </c>
      <c r="E29" s="5" t="s">
        <v>166</v>
      </c>
      <c r="F29" s="5" t="s">
        <v>81</v>
      </c>
      <c r="G29" s="5" t="s">
        <v>82</v>
      </c>
      <c r="H29" s="5" t="s">
        <v>83</v>
      </c>
      <c r="I29" s="6">
        <v>0</v>
      </c>
      <c r="J29" s="14">
        <v>0.5</v>
      </c>
      <c r="K29" s="14">
        <v>0.5</v>
      </c>
      <c r="L29" s="6">
        <v>1</v>
      </c>
    </row>
    <row r="30" spans="1:12" ht="27.95" customHeight="1" x14ac:dyDescent="0.25">
      <c r="A30" s="3" t="s">
        <v>167</v>
      </c>
      <c r="B30" s="3" t="s">
        <v>147</v>
      </c>
      <c r="C30" s="3" t="s">
        <v>164</v>
      </c>
      <c r="D30" s="3" t="s">
        <v>168</v>
      </c>
      <c r="E30" s="3" t="s">
        <v>169</v>
      </c>
      <c r="F30" s="3" t="s">
        <v>81</v>
      </c>
      <c r="G30" s="3" t="s">
        <v>82</v>
      </c>
      <c r="H30" s="3" t="s">
        <v>170</v>
      </c>
      <c r="I30" s="4">
        <v>1</v>
      </c>
      <c r="J30" s="4">
        <v>2</v>
      </c>
      <c r="K30" s="4">
        <v>1</v>
      </c>
      <c r="L30" s="4">
        <v>4</v>
      </c>
    </row>
    <row r="31" spans="1:12" ht="27.95" customHeight="1" x14ac:dyDescent="0.25">
      <c r="A31" s="5" t="s">
        <v>171</v>
      </c>
      <c r="B31" s="5" t="s">
        <v>147</v>
      </c>
      <c r="C31" s="5" t="s">
        <v>164</v>
      </c>
      <c r="D31" s="5" t="s">
        <v>172</v>
      </c>
      <c r="E31" s="5" t="s">
        <v>173</v>
      </c>
      <c r="F31" s="5" t="s">
        <v>81</v>
      </c>
      <c r="G31" s="5" t="s">
        <v>82</v>
      </c>
      <c r="H31" s="5" t="s">
        <v>83</v>
      </c>
      <c r="I31" s="6">
        <v>0</v>
      </c>
      <c r="J31" s="14">
        <v>0.5</v>
      </c>
      <c r="K31" s="14">
        <v>0.5</v>
      </c>
      <c r="L31" s="6">
        <v>1</v>
      </c>
    </row>
    <row r="32" spans="1:12" ht="27.95" customHeight="1" x14ac:dyDescent="0.25">
      <c r="A32" s="3" t="s">
        <v>174</v>
      </c>
      <c r="B32" s="3" t="s">
        <v>147</v>
      </c>
      <c r="C32" s="3" t="s">
        <v>164</v>
      </c>
      <c r="D32" s="3" t="s">
        <v>175</v>
      </c>
      <c r="E32" s="3" t="s">
        <v>176</v>
      </c>
      <c r="F32" s="3" t="s">
        <v>115</v>
      </c>
      <c r="G32" s="3" t="s">
        <v>116</v>
      </c>
      <c r="H32" s="3" t="s">
        <v>83</v>
      </c>
      <c r="I32" s="4">
        <v>0</v>
      </c>
      <c r="J32" s="4">
        <v>1</v>
      </c>
      <c r="K32" s="4">
        <v>0</v>
      </c>
      <c r="L32" s="4">
        <v>1</v>
      </c>
    </row>
    <row r="33" spans="1:12" ht="18" customHeight="1" x14ac:dyDescent="0.25">
      <c r="A33" s="24" t="s">
        <v>177</v>
      </c>
      <c r="B33" s="16"/>
      <c r="C33" s="16"/>
      <c r="D33" s="16"/>
      <c r="E33" s="16"/>
      <c r="F33" s="16"/>
      <c r="G33" s="16"/>
      <c r="H33" s="16"/>
      <c r="I33" s="1">
        <v>3</v>
      </c>
      <c r="J33" s="1">
        <v>9</v>
      </c>
      <c r="K33" s="1">
        <v>4</v>
      </c>
      <c r="L33" s="1">
        <v>16</v>
      </c>
    </row>
    <row r="34" spans="1:12" ht="27.95" customHeight="1" x14ac:dyDescent="0.25">
      <c r="A34" s="3" t="s">
        <v>178</v>
      </c>
      <c r="B34" s="3" t="s">
        <v>179</v>
      </c>
      <c r="C34" s="3" t="s">
        <v>180</v>
      </c>
      <c r="D34" s="3" t="s">
        <v>181</v>
      </c>
      <c r="E34" s="3" t="s">
        <v>182</v>
      </c>
      <c r="F34" s="3" t="s">
        <v>81</v>
      </c>
      <c r="G34" s="3" t="s">
        <v>82</v>
      </c>
      <c r="H34" s="3" t="s">
        <v>83</v>
      </c>
      <c r="I34" s="4">
        <v>0</v>
      </c>
      <c r="J34" s="13">
        <v>1.5</v>
      </c>
      <c r="K34" s="13">
        <v>0.5</v>
      </c>
      <c r="L34" s="4">
        <v>2</v>
      </c>
    </row>
    <row r="35" spans="1:12" ht="27.95" customHeight="1" x14ac:dyDescent="0.25">
      <c r="A35" s="5" t="s">
        <v>183</v>
      </c>
      <c r="B35" s="5" t="s">
        <v>179</v>
      </c>
      <c r="C35" s="5" t="s">
        <v>180</v>
      </c>
      <c r="D35" s="5" t="s">
        <v>184</v>
      </c>
      <c r="E35" s="5" t="s">
        <v>185</v>
      </c>
      <c r="F35" s="5" t="s">
        <v>81</v>
      </c>
      <c r="G35" s="5" t="s">
        <v>82</v>
      </c>
      <c r="H35" s="5" t="s">
        <v>89</v>
      </c>
      <c r="I35" s="6">
        <v>1</v>
      </c>
      <c r="J35" s="6">
        <v>3</v>
      </c>
      <c r="K35" s="6">
        <v>1</v>
      </c>
      <c r="L35" s="6">
        <v>5</v>
      </c>
    </row>
    <row r="36" spans="1:12" ht="27.95" customHeight="1" x14ac:dyDescent="0.25">
      <c r="A36" s="3" t="s">
        <v>186</v>
      </c>
      <c r="B36" s="3" t="s">
        <v>179</v>
      </c>
      <c r="C36" s="3" t="s">
        <v>180</v>
      </c>
      <c r="D36" s="3" t="s">
        <v>187</v>
      </c>
      <c r="E36" s="3" t="s">
        <v>188</v>
      </c>
      <c r="F36" s="3" t="s">
        <v>115</v>
      </c>
      <c r="G36" s="3" t="s">
        <v>116</v>
      </c>
      <c r="H36" s="3" t="s">
        <v>83</v>
      </c>
      <c r="I36" s="13">
        <v>0.5</v>
      </c>
      <c r="J36" s="13">
        <v>0.5</v>
      </c>
      <c r="K36" s="13">
        <v>0.5</v>
      </c>
      <c r="L36" s="13">
        <v>1.5</v>
      </c>
    </row>
    <row r="37" spans="1:12" ht="27.95" customHeight="1" x14ac:dyDescent="0.25">
      <c r="A37" s="5" t="s">
        <v>189</v>
      </c>
      <c r="B37" s="5" t="s">
        <v>179</v>
      </c>
      <c r="C37" s="5" t="s">
        <v>180</v>
      </c>
      <c r="D37" s="5" t="s">
        <v>158</v>
      </c>
      <c r="E37" s="5" t="s">
        <v>190</v>
      </c>
      <c r="F37" s="5" t="s">
        <v>81</v>
      </c>
      <c r="G37" s="5" t="s">
        <v>82</v>
      </c>
      <c r="H37" s="5" t="s">
        <v>83</v>
      </c>
      <c r="I37" s="14">
        <v>0.5</v>
      </c>
      <c r="J37" s="6">
        <v>1</v>
      </c>
      <c r="K37" s="14">
        <v>0.5</v>
      </c>
      <c r="L37" s="6">
        <v>2</v>
      </c>
    </row>
    <row r="38" spans="1:12" ht="27.95" customHeight="1" x14ac:dyDescent="0.25">
      <c r="A38" s="3" t="s">
        <v>191</v>
      </c>
      <c r="B38" s="3" t="s">
        <v>179</v>
      </c>
      <c r="C38" s="3" t="s">
        <v>180</v>
      </c>
      <c r="D38" s="3" t="s">
        <v>192</v>
      </c>
      <c r="E38" s="3" t="s">
        <v>162</v>
      </c>
      <c r="F38" s="3" t="s">
        <v>115</v>
      </c>
      <c r="G38" s="3" t="s">
        <v>116</v>
      </c>
      <c r="H38" s="3" t="s">
        <v>83</v>
      </c>
      <c r="I38" s="13">
        <v>0.5</v>
      </c>
      <c r="J38" s="4">
        <v>2</v>
      </c>
      <c r="K38" s="13">
        <v>0.5</v>
      </c>
      <c r="L38" s="4">
        <v>3</v>
      </c>
    </row>
    <row r="39" spans="1:12" ht="27.95" customHeight="1" x14ac:dyDescent="0.25">
      <c r="A39" s="5" t="s">
        <v>193</v>
      </c>
      <c r="B39" s="5" t="s">
        <v>179</v>
      </c>
      <c r="C39" s="5" t="s">
        <v>180</v>
      </c>
      <c r="D39" s="5" t="s">
        <v>175</v>
      </c>
      <c r="E39" s="5" t="s">
        <v>194</v>
      </c>
      <c r="F39" s="5" t="s">
        <v>115</v>
      </c>
      <c r="G39" s="5" t="s">
        <v>116</v>
      </c>
      <c r="H39" s="5" t="s">
        <v>83</v>
      </c>
      <c r="I39" s="14">
        <v>0.5</v>
      </c>
      <c r="J39" s="6">
        <v>1</v>
      </c>
      <c r="K39" s="6">
        <v>1</v>
      </c>
      <c r="L39" s="14">
        <v>2.5</v>
      </c>
    </row>
    <row r="40" spans="1:12" ht="18" customHeight="1" x14ac:dyDescent="0.25">
      <c r="A40" s="24" t="s">
        <v>195</v>
      </c>
      <c r="B40" s="16"/>
      <c r="C40" s="16"/>
      <c r="D40" s="16"/>
      <c r="E40" s="16"/>
      <c r="F40" s="16"/>
      <c r="G40" s="16"/>
      <c r="H40" s="16"/>
      <c r="I40" s="1">
        <v>4</v>
      </c>
      <c r="J40" s="1">
        <v>18</v>
      </c>
      <c r="K40" s="1">
        <v>6</v>
      </c>
      <c r="L40" s="1">
        <v>28</v>
      </c>
    </row>
    <row r="41" spans="1:12" ht="27.95" customHeight="1" x14ac:dyDescent="0.25">
      <c r="A41" s="3" t="s">
        <v>196</v>
      </c>
      <c r="B41" s="3" t="s">
        <v>197</v>
      </c>
      <c r="C41" s="3" t="s">
        <v>198</v>
      </c>
      <c r="D41" s="3" t="s">
        <v>181</v>
      </c>
      <c r="E41" s="3" t="s">
        <v>199</v>
      </c>
      <c r="F41" s="3" t="s">
        <v>81</v>
      </c>
      <c r="G41" s="3" t="s">
        <v>82</v>
      </c>
      <c r="H41" s="3" t="s">
        <v>83</v>
      </c>
      <c r="I41" s="4">
        <v>0</v>
      </c>
      <c r="J41" s="13">
        <v>1.5</v>
      </c>
      <c r="K41" s="13">
        <v>0.5</v>
      </c>
      <c r="L41" s="4">
        <v>2</v>
      </c>
    </row>
    <row r="42" spans="1:12" ht="27.95" customHeight="1" x14ac:dyDescent="0.25">
      <c r="A42" s="5" t="s">
        <v>200</v>
      </c>
      <c r="B42" s="5" t="s">
        <v>197</v>
      </c>
      <c r="C42" s="5" t="s">
        <v>198</v>
      </c>
      <c r="D42" s="5" t="s">
        <v>201</v>
      </c>
      <c r="E42" s="5" t="s">
        <v>202</v>
      </c>
      <c r="F42" s="5" t="s">
        <v>81</v>
      </c>
      <c r="G42" s="5" t="s">
        <v>82</v>
      </c>
      <c r="H42" s="5" t="s">
        <v>89</v>
      </c>
      <c r="I42" s="6">
        <v>1</v>
      </c>
      <c r="J42" s="6">
        <v>3</v>
      </c>
      <c r="K42" s="6">
        <v>1</v>
      </c>
      <c r="L42" s="6">
        <v>5</v>
      </c>
    </row>
    <row r="43" spans="1:12" ht="27.95" customHeight="1" x14ac:dyDescent="0.25">
      <c r="A43" s="3" t="s">
        <v>203</v>
      </c>
      <c r="B43" s="3" t="s">
        <v>197</v>
      </c>
      <c r="C43" s="3" t="s">
        <v>198</v>
      </c>
      <c r="D43" s="3" t="s">
        <v>158</v>
      </c>
      <c r="E43" s="3" t="s">
        <v>190</v>
      </c>
      <c r="F43" s="3" t="s">
        <v>81</v>
      </c>
      <c r="G43" s="3" t="s">
        <v>82</v>
      </c>
      <c r="H43" s="3" t="s">
        <v>83</v>
      </c>
      <c r="I43" s="13">
        <v>0.5</v>
      </c>
      <c r="J43" s="4">
        <v>1</v>
      </c>
      <c r="K43" s="13">
        <v>0.5</v>
      </c>
      <c r="L43" s="4">
        <v>2</v>
      </c>
    </row>
    <row r="44" spans="1:12" ht="27.95" customHeight="1" x14ac:dyDescent="0.25">
      <c r="A44" s="5" t="s">
        <v>204</v>
      </c>
      <c r="B44" s="5" t="s">
        <v>197</v>
      </c>
      <c r="C44" s="5" t="s">
        <v>198</v>
      </c>
      <c r="D44" s="5" t="s">
        <v>205</v>
      </c>
      <c r="E44" s="5" t="s">
        <v>206</v>
      </c>
      <c r="F44" s="5" t="s">
        <v>115</v>
      </c>
      <c r="G44" s="5" t="s">
        <v>116</v>
      </c>
      <c r="H44" s="5" t="s">
        <v>83</v>
      </c>
      <c r="I44" s="14">
        <v>0.5</v>
      </c>
      <c r="J44" s="6">
        <v>2</v>
      </c>
      <c r="K44" s="6">
        <v>1</v>
      </c>
      <c r="L44" s="14">
        <v>3.5</v>
      </c>
    </row>
    <row r="45" spans="1:12" ht="27.95" customHeight="1" x14ac:dyDescent="0.25">
      <c r="A45" s="3" t="s">
        <v>207</v>
      </c>
      <c r="B45" s="3" t="s">
        <v>197</v>
      </c>
      <c r="C45" s="3" t="s">
        <v>208</v>
      </c>
      <c r="D45" s="3" t="s">
        <v>209</v>
      </c>
      <c r="E45" s="3" t="s">
        <v>210</v>
      </c>
      <c r="F45" s="3" t="s">
        <v>81</v>
      </c>
      <c r="G45" s="3" t="s">
        <v>116</v>
      </c>
      <c r="H45" s="3" t="s">
        <v>83</v>
      </c>
      <c r="I45" s="4">
        <v>0</v>
      </c>
      <c r="J45" s="13">
        <v>1.5</v>
      </c>
      <c r="K45" s="13">
        <v>0.5</v>
      </c>
      <c r="L45" s="4">
        <v>2</v>
      </c>
    </row>
    <row r="46" spans="1:12" ht="27.95" customHeight="1" x14ac:dyDescent="0.25">
      <c r="A46" s="5" t="s">
        <v>211</v>
      </c>
      <c r="B46" s="5" t="s">
        <v>197</v>
      </c>
      <c r="C46" s="5" t="s">
        <v>208</v>
      </c>
      <c r="D46" s="5" t="s">
        <v>212</v>
      </c>
      <c r="E46" s="5" t="s">
        <v>213</v>
      </c>
      <c r="F46" s="5" t="s">
        <v>115</v>
      </c>
      <c r="G46" s="5" t="s">
        <v>116</v>
      </c>
      <c r="H46" s="5" t="s">
        <v>89</v>
      </c>
      <c r="I46" s="6">
        <v>1</v>
      </c>
      <c r="J46" s="6">
        <v>3</v>
      </c>
      <c r="K46" s="6">
        <v>1</v>
      </c>
      <c r="L46" s="6">
        <v>5</v>
      </c>
    </row>
    <row r="47" spans="1:12" ht="27.95" customHeight="1" x14ac:dyDescent="0.25">
      <c r="A47" s="3" t="s">
        <v>214</v>
      </c>
      <c r="B47" s="3" t="s">
        <v>197</v>
      </c>
      <c r="C47" s="3" t="s">
        <v>208</v>
      </c>
      <c r="D47" s="3" t="s">
        <v>158</v>
      </c>
      <c r="E47" s="3" t="s">
        <v>190</v>
      </c>
      <c r="F47" s="3" t="s">
        <v>81</v>
      </c>
      <c r="G47" s="3" t="s">
        <v>82</v>
      </c>
      <c r="H47" s="3" t="s">
        <v>83</v>
      </c>
      <c r="I47" s="4">
        <v>0</v>
      </c>
      <c r="J47" s="4">
        <v>1</v>
      </c>
      <c r="K47" s="13">
        <v>0.5</v>
      </c>
      <c r="L47" s="13">
        <v>1.5</v>
      </c>
    </row>
    <row r="48" spans="1:12" ht="27.95" customHeight="1" x14ac:dyDescent="0.25">
      <c r="A48" s="5" t="s">
        <v>215</v>
      </c>
      <c r="B48" s="5" t="s">
        <v>197</v>
      </c>
      <c r="C48" s="5" t="s">
        <v>208</v>
      </c>
      <c r="D48" s="5" t="s">
        <v>216</v>
      </c>
      <c r="E48" s="5" t="s">
        <v>217</v>
      </c>
      <c r="F48" s="5" t="s">
        <v>115</v>
      </c>
      <c r="G48" s="5" t="s">
        <v>116</v>
      </c>
      <c r="H48" s="5" t="s">
        <v>83</v>
      </c>
      <c r="I48" s="14">
        <v>0.5</v>
      </c>
      <c r="J48" s="14">
        <v>1.5</v>
      </c>
      <c r="K48" s="14">
        <v>0.5</v>
      </c>
      <c r="L48" s="14">
        <v>2.5</v>
      </c>
    </row>
    <row r="49" spans="1:12" ht="27.95" customHeight="1" x14ac:dyDescent="0.25">
      <c r="A49" s="3" t="s">
        <v>218</v>
      </c>
      <c r="B49" s="3" t="s">
        <v>197</v>
      </c>
      <c r="C49" s="3" t="s">
        <v>219</v>
      </c>
      <c r="D49" s="3" t="s">
        <v>220</v>
      </c>
      <c r="E49" s="3" t="s">
        <v>221</v>
      </c>
      <c r="F49" s="3" t="s">
        <v>81</v>
      </c>
      <c r="G49" s="3" t="s">
        <v>88</v>
      </c>
      <c r="H49" s="3" t="s">
        <v>83</v>
      </c>
      <c r="I49" s="13">
        <v>0.5</v>
      </c>
      <c r="J49" s="4">
        <v>2</v>
      </c>
      <c r="K49" s="13">
        <v>0.5</v>
      </c>
      <c r="L49" s="4">
        <v>3</v>
      </c>
    </row>
    <row r="50" spans="1:12" ht="27.95" customHeight="1" x14ac:dyDescent="0.25">
      <c r="A50" s="5" t="s">
        <v>222</v>
      </c>
      <c r="B50" s="5" t="s">
        <v>197</v>
      </c>
      <c r="C50" s="5" t="s">
        <v>219</v>
      </c>
      <c r="D50" s="5" t="s">
        <v>223</v>
      </c>
      <c r="E50" s="5" t="s">
        <v>224</v>
      </c>
      <c r="F50" s="5" t="s">
        <v>115</v>
      </c>
      <c r="G50" s="5" t="s">
        <v>116</v>
      </c>
      <c r="H50" s="5" t="s">
        <v>83</v>
      </c>
      <c r="I50" s="6">
        <v>0</v>
      </c>
      <c r="J50" s="14">
        <v>1.5</v>
      </c>
      <c r="K50" s="14">
        <v>0.5</v>
      </c>
      <c r="L50" s="6">
        <v>2</v>
      </c>
    </row>
    <row r="51" spans="1:12" ht="18" customHeight="1" x14ac:dyDescent="0.25">
      <c r="A51" s="24" t="s">
        <v>225</v>
      </c>
      <c r="B51" s="16"/>
      <c r="C51" s="16"/>
      <c r="D51" s="16"/>
      <c r="E51" s="16"/>
      <c r="F51" s="16"/>
      <c r="G51" s="16"/>
      <c r="H51" s="16"/>
      <c r="I51" s="1">
        <v>3</v>
      </c>
      <c r="J51" s="1">
        <v>7</v>
      </c>
      <c r="K51" s="1">
        <v>3</v>
      </c>
      <c r="L51" s="1">
        <v>13</v>
      </c>
    </row>
    <row r="52" spans="1:12" ht="27.95" customHeight="1" x14ac:dyDescent="0.25">
      <c r="A52" s="3" t="s">
        <v>226</v>
      </c>
      <c r="B52" s="3" t="s">
        <v>227</v>
      </c>
      <c r="C52" s="3" t="s">
        <v>228</v>
      </c>
      <c r="D52" s="3" t="s">
        <v>181</v>
      </c>
      <c r="E52" s="3" t="s">
        <v>229</v>
      </c>
      <c r="F52" s="3" t="s">
        <v>81</v>
      </c>
      <c r="G52" s="3" t="s">
        <v>230</v>
      </c>
      <c r="H52" s="3" t="s">
        <v>83</v>
      </c>
      <c r="I52" s="4">
        <v>0</v>
      </c>
      <c r="J52" s="4">
        <v>1</v>
      </c>
      <c r="K52" s="13">
        <v>0.5</v>
      </c>
      <c r="L52" s="13">
        <v>1.5</v>
      </c>
    </row>
    <row r="53" spans="1:12" ht="27.95" customHeight="1" x14ac:dyDescent="0.25">
      <c r="A53" s="5" t="s">
        <v>231</v>
      </c>
      <c r="B53" s="5" t="s">
        <v>227</v>
      </c>
      <c r="C53" s="5" t="s">
        <v>228</v>
      </c>
      <c r="D53" s="5" t="s">
        <v>184</v>
      </c>
      <c r="E53" s="5" t="s">
        <v>232</v>
      </c>
      <c r="F53" s="5" t="s">
        <v>81</v>
      </c>
      <c r="G53" s="5" t="s">
        <v>230</v>
      </c>
      <c r="H53" s="5" t="s">
        <v>170</v>
      </c>
      <c r="I53" s="6">
        <v>1</v>
      </c>
      <c r="J53" s="6">
        <v>2</v>
      </c>
      <c r="K53" s="14">
        <v>0.5</v>
      </c>
      <c r="L53" s="14">
        <v>3.5</v>
      </c>
    </row>
    <row r="54" spans="1:12" ht="27.95" customHeight="1" x14ac:dyDescent="0.25">
      <c r="A54" s="3" t="s">
        <v>233</v>
      </c>
      <c r="B54" s="3" t="s">
        <v>227</v>
      </c>
      <c r="C54" s="3" t="s">
        <v>228</v>
      </c>
      <c r="D54" s="3" t="s">
        <v>158</v>
      </c>
      <c r="E54" s="3" t="s">
        <v>190</v>
      </c>
      <c r="F54" s="3" t="s">
        <v>81</v>
      </c>
      <c r="G54" s="3" t="s">
        <v>82</v>
      </c>
      <c r="H54" s="3" t="s">
        <v>83</v>
      </c>
      <c r="I54" s="13">
        <v>0.5</v>
      </c>
      <c r="J54" s="13">
        <v>0.5</v>
      </c>
      <c r="K54" s="4">
        <v>0</v>
      </c>
      <c r="L54" s="4">
        <v>1</v>
      </c>
    </row>
    <row r="55" spans="1:12" ht="27.95" customHeight="1" x14ac:dyDescent="0.25">
      <c r="A55" s="5" t="s">
        <v>234</v>
      </c>
      <c r="B55" s="5" t="s">
        <v>227</v>
      </c>
      <c r="C55" s="5" t="s">
        <v>235</v>
      </c>
      <c r="D55" s="5" t="s">
        <v>181</v>
      </c>
      <c r="E55" s="5" t="s">
        <v>236</v>
      </c>
      <c r="F55" s="5" t="s">
        <v>81</v>
      </c>
      <c r="G55" s="5" t="s">
        <v>82</v>
      </c>
      <c r="H55" s="5" t="s">
        <v>83</v>
      </c>
      <c r="I55" s="6">
        <v>0</v>
      </c>
      <c r="J55" s="6">
        <v>1</v>
      </c>
      <c r="K55" s="14">
        <v>0.5</v>
      </c>
      <c r="L55" s="14">
        <v>1.5</v>
      </c>
    </row>
    <row r="56" spans="1:12" ht="27.95" customHeight="1" x14ac:dyDescent="0.25">
      <c r="A56" s="3" t="s">
        <v>237</v>
      </c>
      <c r="B56" s="3" t="s">
        <v>227</v>
      </c>
      <c r="C56" s="3" t="s">
        <v>235</v>
      </c>
      <c r="D56" s="3" t="s">
        <v>238</v>
      </c>
      <c r="E56" s="3" t="s">
        <v>239</v>
      </c>
      <c r="F56" s="3" t="s">
        <v>81</v>
      </c>
      <c r="G56" s="3" t="s">
        <v>82</v>
      </c>
      <c r="H56" s="3" t="s">
        <v>83</v>
      </c>
      <c r="I56" s="4">
        <v>1</v>
      </c>
      <c r="J56" s="13">
        <v>1.5</v>
      </c>
      <c r="K56" s="4">
        <v>1</v>
      </c>
      <c r="L56" s="13">
        <v>3.5</v>
      </c>
    </row>
    <row r="57" spans="1:12" ht="27.95" customHeight="1" x14ac:dyDescent="0.25">
      <c r="A57" s="5" t="s">
        <v>240</v>
      </c>
      <c r="B57" s="5" t="s">
        <v>227</v>
      </c>
      <c r="C57" s="5" t="s">
        <v>235</v>
      </c>
      <c r="D57" s="5" t="s">
        <v>241</v>
      </c>
      <c r="E57" s="5" t="s">
        <v>190</v>
      </c>
      <c r="F57" s="5" t="s">
        <v>81</v>
      </c>
      <c r="G57" s="5" t="s">
        <v>82</v>
      </c>
      <c r="H57" s="5" t="s">
        <v>83</v>
      </c>
      <c r="I57" s="14">
        <v>0.5</v>
      </c>
      <c r="J57" s="6">
        <v>1</v>
      </c>
      <c r="K57" s="14">
        <v>0.5</v>
      </c>
      <c r="L57" s="6">
        <v>2</v>
      </c>
    </row>
    <row r="58" spans="1:12" ht="18" customHeight="1" x14ac:dyDescent="0.25">
      <c r="A58" s="24" t="s">
        <v>242</v>
      </c>
      <c r="B58" s="16"/>
      <c r="C58" s="16"/>
      <c r="D58" s="16"/>
      <c r="E58" s="16"/>
      <c r="F58" s="16"/>
      <c r="G58" s="16"/>
      <c r="H58" s="16"/>
      <c r="I58" s="1">
        <v>3</v>
      </c>
      <c r="J58" s="1">
        <v>8</v>
      </c>
      <c r="K58" s="1">
        <v>3</v>
      </c>
      <c r="L58" s="1">
        <v>14</v>
      </c>
    </row>
    <row r="59" spans="1:12" ht="27.95" customHeight="1" x14ac:dyDescent="0.25">
      <c r="A59" s="3" t="s">
        <v>243</v>
      </c>
      <c r="B59" s="3" t="s">
        <v>244</v>
      </c>
      <c r="C59" s="3" t="s">
        <v>245</v>
      </c>
      <c r="D59" s="3" t="s">
        <v>246</v>
      </c>
      <c r="E59" s="3" t="s">
        <v>247</v>
      </c>
      <c r="F59" s="3" t="s">
        <v>128</v>
      </c>
      <c r="G59" s="3" t="s">
        <v>82</v>
      </c>
      <c r="H59" s="3" t="s">
        <v>83</v>
      </c>
      <c r="I59" s="13">
        <v>0.5</v>
      </c>
      <c r="J59" s="4">
        <v>2</v>
      </c>
      <c r="K59" s="13">
        <v>0.5</v>
      </c>
      <c r="L59" s="4">
        <v>3</v>
      </c>
    </row>
    <row r="60" spans="1:12" ht="27.95" customHeight="1" x14ac:dyDescent="0.25">
      <c r="A60" s="5" t="s">
        <v>248</v>
      </c>
      <c r="B60" s="5" t="s">
        <v>244</v>
      </c>
      <c r="C60" s="5" t="s">
        <v>245</v>
      </c>
      <c r="D60" s="5" t="s">
        <v>249</v>
      </c>
      <c r="E60" s="5" t="s">
        <v>250</v>
      </c>
      <c r="F60" s="5" t="s">
        <v>115</v>
      </c>
      <c r="G60" s="5" t="s">
        <v>116</v>
      </c>
      <c r="H60" s="5" t="s">
        <v>83</v>
      </c>
      <c r="I60" s="14">
        <v>0.5</v>
      </c>
      <c r="J60" s="6">
        <v>2</v>
      </c>
      <c r="K60" s="14">
        <v>0.5</v>
      </c>
      <c r="L60" s="6">
        <v>3</v>
      </c>
    </row>
    <row r="61" spans="1:12" ht="27.95" customHeight="1" x14ac:dyDescent="0.25">
      <c r="A61" s="3" t="s">
        <v>251</v>
      </c>
      <c r="B61" s="3" t="s">
        <v>244</v>
      </c>
      <c r="C61" s="3" t="s">
        <v>245</v>
      </c>
      <c r="D61" s="3" t="s">
        <v>252</v>
      </c>
      <c r="E61" s="3" t="s">
        <v>253</v>
      </c>
      <c r="F61" s="3" t="s">
        <v>115</v>
      </c>
      <c r="G61" s="3" t="s">
        <v>116</v>
      </c>
      <c r="H61" s="3" t="s">
        <v>83</v>
      </c>
      <c r="I61" s="13">
        <v>0.5</v>
      </c>
      <c r="J61" s="4">
        <v>2</v>
      </c>
      <c r="K61" s="13">
        <v>0.5</v>
      </c>
      <c r="L61" s="4">
        <v>3</v>
      </c>
    </row>
    <row r="62" spans="1:12" ht="27.95" customHeight="1" x14ac:dyDescent="0.25">
      <c r="A62" s="5" t="s">
        <v>254</v>
      </c>
      <c r="B62" s="5" t="s">
        <v>244</v>
      </c>
      <c r="C62" s="5" t="s">
        <v>245</v>
      </c>
      <c r="D62" s="5" t="s">
        <v>255</v>
      </c>
      <c r="E62" s="5" t="s">
        <v>256</v>
      </c>
      <c r="F62" s="5" t="s">
        <v>128</v>
      </c>
      <c r="G62" s="5" t="s">
        <v>82</v>
      </c>
      <c r="H62" s="5" t="s">
        <v>83</v>
      </c>
      <c r="I62" s="14">
        <v>0.5</v>
      </c>
      <c r="J62" s="6">
        <v>1</v>
      </c>
      <c r="K62" s="6">
        <v>0</v>
      </c>
      <c r="L62" s="14">
        <v>1.5</v>
      </c>
    </row>
    <row r="63" spans="1:12" ht="27.95" customHeight="1" x14ac:dyDescent="0.25">
      <c r="A63" s="3" t="s">
        <v>257</v>
      </c>
      <c r="B63" s="3" t="s">
        <v>244</v>
      </c>
      <c r="C63" s="3" t="s">
        <v>245</v>
      </c>
      <c r="D63" s="3" t="s">
        <v>258</v>
      </c>
      <c r="E63" s="3" t="s">
        <v>259</v>
      </c>
      <c r="F63" s="3" t="s">
        <v>128</v>
      </c>
      <c r="G63" s="3" t="s">
        <v>82</v>
      </c>
      <c r="H63" s="3" t="s">
        <v>83</v>
      </c>
      <c r="I63" s="4">
        <v>1</v>
      </c>
      <c r="J63" s="4">
        <v>1</v>
      </c>
      <c r="K63" s="13">
        <v>1.5</v>
      </c>
      <c r="L63" s="13">
        <v>3.5</v>
      </c>
    </row>
    <row r="64" spans="1:12" ht="18" customHeight="1" x14ac:dyDescent="0.25">
      <c r="A64" s="24" t="s">
        <v>260</v>
      </c>
      <c r="B64" s="16"/>
      <c r="C64" s="16"/>
      <c r="D64" s="16"/>
      <c r="E64" s="16"/>
      <c r="F64" s="16"/>
      <c r="G64" s="16"/>
      <c r="H64" s="16"/>
      <c r="I64" s="1">
        <v>4</v>
      </c>
      <c r="J64" s="1">
        <v>16</v>
      </c>
      <c r="K64" s="1">
        <v>6</v>
      </c>
      <c r="L64" s="1">
        <v>26</v>
      </c>
    </row>
    <row r="65" spans="1:12" ht="27.95" customHeight="1" x14ac:dyDescent="0.25">
      <c r="A65" s="3" t="s">
        <v>261</v>
      </c>
      <c r="B65" s="3" t="s">
        <v>262</v>
      </c>
      <c r="C65" s="3" t="s">
        <v>263</v>
      </c>
      <c r="D65" s="3" t="s">
        <v>264</v>
      </c>
      <c r="E65" s="3" t="s">
        <v>265</v>
      </c>
      <c r="F65" s="3" t="s">
        <v>115</v>
      </c>
      <c r="G65" s="3" t="s">
        <v>116</v>
      </c>
      <c r="H65" s="3" t="s">
        <v>89</v>
      </c>
      <c r="I65" s="4">
        <v>1</v>
      </c>
      <c r="J65" s="4">
        <v>3</v>
      </c>
      <c r="K65" s="4">
        <v>1</v>
      </c>
      <c r="L65" s="4">
        <v>5</v>
      </c>
    </row>
    <row r="66" spans="1:12" ht="27.95" customHeight="1" x14ac:dyDescent="0.25">
      <c r="A66" s="5" t="s">
        <v>266</v>
      </c>
      <c r="B66" s="5" t="s">
        <v>262</v>
      </c>
      <c r="C66" s="5" t="s">
        <v>263</v>
      </c>
      <c r="D66" s="5" t="s">
        <v>267</v>
      </c>
      <c r="E66" s="5" t="s">
        <v>268</v>
      </c>
      <c r="F66" s="5" t="s">
        <v>115</v>
      </c>
      <c r="G66" s="5" t="s">
        <v>82</v>
      </c>
      <c r="H66" s="5" t="s">
        <v>83</v>
      </c>
      <c r="I66" s="14">
        <v>0.5</v>
      </c>
      <c r="J66" s="6">
        <v>3</v>
      </c>
      <c r="K66" s="6">
        <v>1</v>
      </c>
      <c r="L66" s="14">
        <v>4.5</v>
      </c>
    </row>
    <row r="67" spans="1:12" ht="27.95" customHeight="1" x14ac:dyDescent="0.25">
      <c r="A67" s="3" t="s">
        <v>269</v>
      </c>
      <c r="B67" s="3" t="s">
        <v>262</v>
      </c>
      <c r="C67" s="3" t="s">
        <v>263</v>
      </c>
      <c r="D67" s="3" t="s">
        <v>270</v>
      </c>
      <c r="E67" s="3" t="s">
        <v>271</v>
      </c>
      <c r="F67" s="3" t="s">
        <v>115</v>
      </c>
      <c r="G67" s="3" t="s">
        <v>116</v>
      </c>
      <c r="H67" s="3" t="s">
        <v>83</v>
      </c>
      <c r="I67" s="13">
        <v>0.5</v>
      </c>
      <c r="J67" s="4">
        <v>3</v>
      </c>
      <c r="K67" s="4">
        <v>1</v>
      </c>
      <c r="L67" s="13">
        <v>4.5</v>
      </c>
    </row>
    <row r="68" spans="1:12" ht="27.95" customHeight="1" x14ac:dyDescent="0.25">
      <c r="A68" s="5" t="s">
        <v>272</v>
      </c>
      <c r="B68" s="5" t="s">
        <v>262</v>
      </c>
      <c r="C68" s="5" t="s">
        <v>263</v>
      </c>
      <c r="D68" s="5" t="s">
        <v>273</v>
      </c>
      <c r="E68" s="5" t="s">
        <v>274</v>
      </c>
      <c r="F68" s="5" t="s">
        <v>115</v>
      </c>
      <c r="G68" s="5" t="s">
        <v>82</v>
      </c>
      <c r="H68" s="5" t="s">
        <v>83</v>
      </c>
      <c r="I68" s="14">
        <v>0.5</v>
      </c>
      <c r="J68" s="6">
        <v>3</v>
      </c>
      <c r="K68" s="6">
        <v>1</v>
      </c>
      <c r="L68" s="14">
        <v>4.5</v>
      </c>
    </row>
    <row r="69" spans="1:12" ht="27.95" customHeight="1" x14ac:dyDescent="0.25">
      <c r="A69" s="3" t="s">
        <v>275</v>
      </c>
      <c r="B69" s="3" t="s">
        <v>262</v>
      </c>
      <c r="C69" s="3" t="s">
        <v>263</v>
      </c>
      <c r="D69" s="3" t="s">
        <v>276</v>
      </c>
      <c r="E69" s="3" t="s">
        <v>277</v>
      </c>
      <c r="F69" s="3" t="s">
        <v>115</v>
      </c>
      <c r="G69" s="3" t="s">
        <v>116</v>
      </c>
      <c r="H69" s="3" t="s">
        <v>83</v>
      </c>
      <c r="I69" s="13">
        <v>0.5</v>
      </c>
      <c r="J69" s="4">
        <v>2</v>
      </c>
      <c r="K69" s="4">
        <v>1</v>
      </c>
      <c r="L69" s="13">
        <v>3.5</v>
      </c>
    </row>
    <row r="70" spans="1:12" ht="27.95" customHeight="1" x14ac:dyDescent="0.25">
      <c r="A70" s="5" t="s">
        <v>278</v>
      </c>
      <c r="B70" s="5" t="s">
        <v>262</v>
      </c>
      <c r="C70" s="5" t="s">
        <v>263</v>
      </c>
      <c r="D70" s="5" t="s">
        <v>279</v>
      </c>
      <c r="E70" s="5" t="s">
        <v>280</v>
      </c>
      <c r="F70" s="5" t="s">
        <v>115</v>
      </c>
      <c r="G70" s="5" t="s">
        <v>82</v>
      </c>
      <c r="H70" s="5" t="s">
        <v>83</v>
      </c>
      <c r="I70" s="6">
        <v>1</v>
      </c>
      <c r="J70" s="6">
        <v>2</v>
      </c>
      <c r="K70" s="6">
        <v>1</v>
      </c>
      <c r="L70" s="6">
        <v>4</v>
      </c>
    </row>
    <row r="71" spans="1:12" ht="18" customHeight="1" x14ac:dyDescent="0.25">
      <c r="A71" s="24" t="s">
        <v>281</v>
      </c>
      <c r="B71" s="16"/>
      <c r="C71" s="16"/>
      <c r="D71" s="16"/>
      <c r="E71" s="16"/>
      <c r="F71" s="16"/>
      <c r="G71" s="16"/>
      <c r="H71" s="16"/>
      <c r="I71" s="1">
        <v>3</v>
      </c>
      <c r="J71" s="1">
        <v>12</v>
      </c>
      <c r="K71" s="1">
        <v>4</v>
      </c>
      <c r="L71" s="1">
        <v>19</v>
      </c>
    </row>
    <row r="72" spans="1:12" ht="27.95" customHeight="1" x14ac:dyDescent="0.25">
      <c r="A72" s="3" t="s">
        <v>282</v>
      </c>
      <c r="B72" s="3" t="s">
        <v>283</v>
      </c>
      <c r="C72" s="3" t="s">
        <v>284</v>
      </c>
      <c r="D72" s="3" t="s">
        <v>285</v>
      </c>
      <c r="E72" s="3" t="s">
        <v>286</v>
      </c>
      <c r="F72" s="3" t="s">
        <v>287</v>
      </c>
      <c r="G72" s="3" t="s">
        <v>82</v>
      </c>
      <c r="H72" s="3" t="s">
        <v>83</v>
      </c>
      <c r="I72" s="13">
        <v>0.5</v>
      </c>
      <c r="J72" s="4">
        <v>2</v>
      </c>
      <c r="K72" s="13">
        <v>0.5</v>
      </c>
      <c r="L72" s="4">
        <v>3</v>
      </c>
    </row>
    <row r="73" spans="1:12" ht="27.95" customHeight="1" x14ac:dyDescent="0.25">
      <c r="A73" s="5" t="s">
        <v>288</v>
      </c>
      <c r="B73" s="5" t="s">
        <v>283</v>
      </c>
      <c r="C73" s="5" t="s">
        <v>284</v>
      </c>
      <c r="D73" s="5" t="s">
        <v>289</v>
      </c>
      <c r="E73" s="5" t="s">
        <v>290</v>
      </c>
      <c r="F73" s="5" t="s">
        <v>287</v>
      </c>
      <c r="G73" s="5" t="s">
        <v>82</v>
      </c>
      <c r="H73" s="5" t="s">
        <v>83</v>
      </c>
      <c r="I73" s="6">
        <v>0</v>
      </c>
      <c r="J73" s="6">
        <v>1</v>
      </c>
      <c r="K73" s="6">
        <v>0</v>
      </c>
      <c r="L73" s="6">
        <v>1</v>
      </c>
    </row>
    <row r="74" spans="1:12" ht="27.95" customHeight="1" x14ac:dyDescent="0.25">
      <c r="A74" s="3" t="s">
        <v>291</v>
      </c>
      <c r="B74" s="3" t="s">
        <v>283</v>
      </c>
      <c r="C74" s="3" t="s">
        <v>284</v>
      </c>
      <c r="D74" s="3" t="s">
        <v>292</v>
      </c>
      <c r="E74" s="3" t="s">
        <v>293</v>
      </c>
      <c r="F74" s="3" t="s">
        <v>287</v>
      </c>
      <c r="G74" s="3" t="s">
        <v>82</v>
      </c>
      <c r="H74" s="3" t="s">
        <v>83</v>
      </c>
      <c r="I74" s="4">
        <v>0</v>
      </c>
      <c r="J74" s="4">
        <v>1</v>
      </c>
      <c r="K74" s="4">
        <v>0</v>
      </c>
      <c r="L74" s="4">
        <v>1</v>
      </c>
    </row>
    <row r="75" spans="1:12" ht="27.95" customHeight="1" x14ac:dyDescent="0.25">
      <c r="A75" s="5" t="s">
        <v>294</v>
      </c>
      <c r="B75" s="5" t="s">
        <v>283</v>
      </c>
      <c r="C75" s="5" t="s">
        <v>284</v>
      </c>
      <c r="D75" s="5" t="s">
        <v>295</v>
      </c>
      <c r="E75" s="5" t="s">
        <v>290</v>
      </c>
      <c r="F75" s="5" t="s">
        <v>287</v>
      </c>
      <c r="G75" s="5" t="s">
        <v>82</v>
      </c>
      <c r="H75" s="5" t="s">
        <v>83</v>
      </c>
      <c r="I75" s="6">
        <v>0</v>
      </c>
      <c r="J75" s="6">
        <v>1</v>
      </c>
      <c r="K75" s="6">
        <v>0</v>
      </c>
      <c r="L75" s="6">
        <v>1</v>
      </c>
    </row>
    <row r="76" spans="1:12" ht="27.95" customHeight="1" x14ac:dyDescent="0.25">
      <c r="A76" s="3" t="s">
        <v>296</v>
      </c>
      <c r="B76" s="3" t="s">
        <v>283</v>
      </c>
      <c r="C76" s="3" t="s">
        <v>297</v>
      </c>
      <c r="D76" s="3" t="s">
        <v>298</v>
      </c>
      <c r="E76" s="3" t="s">
        <v>299</v>
      </c>
      <c r="F76" s="3" t="s">
        <v>81</v>
      </c>
      <c r="G76" s="3" t="s">
        <v>82</v>
      </c>
      <c r="H76" s="3" t="s">
        <v>83</v>
      </c>
      <c r="I76" s="13">
        <v>0.5</v>
      </c>
      <c r="J76" s="4">
        <v>1</v>
      </c>
      <c r="K76" s="13">
        <v>0.5</v>
      </c>
      <c r="L76" s="4">
        <v>2</v>
      </c>
    </row>
    <row r="77" spans="1:12" ht="27.95" customHeight="1" x14ac:dyDescent="0.25">
      <c r="A77" s="5" t="s">
        <v>300</v>
      </c>
      <c r="B77" s="5" t="s">
        <v>283</v>
      </c>
      <c r="C77" s="5" t="s">
        <v>297</v>
      </c>
      <c r="D77" s="5" t="s">
        <v>301</v>
      </c>
      <c r="E77" s="5" t="s">
        <v>302</v>
      </c>
      <c r="F77" s="5" t="s">
        <v>81</v>
      </c>
      <c r="G77" s="5" t="s">
        <v>82</v>
      </c>
      <c r="H77" s="5" t="s">
        <v>83</v>
      </c>
      <c r="I77" s="14">
        <v>0.5</v>
      </c>
      <c r="J77" s="6">
        <v>2</v>
      </c>
      <c r="K77" s="6">
        <v>1</v>
      </c>
      <c r="L77" s="14">
        <v>3.5</v>
      </c>
    </row>
    <row r="78" spans="1:12" ht="27.95" customHeight="1" x14ac:dyDescent="0.25">
      <c r="A78" s="3" t="s">
        <v>303</v>
      </c>
      <c r="B78" s="3" t="s">
        <v>283</v>
      </c>
      <c r="C78" s="3" t="s">
        <v>297</v>
      </c>
      <c r="D78" s="3" t="s">
        <v>304</v>
      </c>
      <c r="E78" s="3" t="s">
        <v>305</v>
      </c>
      <c r="F78" s="3" t="s">
        <v>81</v>
      </c>
      <c r="G78" s="3" t="s">
        <v>82</v>
      </c>
      <c r="H78" s="3" t="s">
        <v>83</v>
      </c>
      <c r="I78" s="13">
        <v>0.5</v>
      </c>
      <c r="J78" s="4">
        <v>1</v>
      </c>
      <c r="K78" s="13">
        <v>0.5</v>
      </c>
      <c r="L78" s="4">
        <v>2</v>
      </c>
    </row>
    <row r="79" spans="1:12" ht="27.95" customHeight="1" x14ac:dyDescent="0.25">
      <c r="A79" s="5" t="s">
        <v>306</v>
      </c>
      <c r="B79" s="5" t="s">
        <v>283</v>
      </c>
      <c r="C79" s="5" t="s">
        <v>297</v>
      </c>
      <c r="D79" s="5" t="s">
        <v>307</v>
      </c>
      <c r="E79" s="5" t="s">
        <v>305</v>
      </c>
      <c r="F79" s="5" t="s">
        <v>81</v>
      </c>
      <c r="G79" s="5" t="s">
        <v>82</v>
      </c>
      <c r="H79" s="5" t="s">
        <v>83</v>
      </c>
      <c r="I79" s="14">
        <v>0.5</v>
      </c>
      <c r="J79" s="6">
        <v>1</v>
      </c>
      <c r="K79" s="14">
        <v>0.5</v>
      </c>
      <c r="L79" s="6">
        <v>2</v>
      </c>
    </row>
    <row r="80" spans="1:12" ht="27.95" customHeight="1" x14ac:dyDescent="0.25">
      <c r="A80" s="3" t="s">
        <v>308</v>
      </c>
      <c r="B80" s="3" t="s">
        <v>283</v>
      </c>
      <c r="C80" s="3" t="s">
        <v>297</v>
      </c>
      <c r="D80" s="3" t="s">
        <v>309</v>
      </c>
      <c r="E80" s="3" t="s">
        <v>305</v>
      </c>
      <c r="F80" s="3" t="s">
        <v>81</v>
      </c>
      <c r="G80" s="3" t="s">
        <v>82</v>
      </c>
      <c r="H80" s="3" t="s">
        <v>83</v>
      </c>
      <c r="I80" s="13">
        <v>0.5</v>
      </c>
      <c r="J80" s="4">
        <v>1</v>
      </c>
      <c r="K80" s="13">
        <v>0.5</v>
      </c>
      <c r="L80" s="4">
        <v>2</v>
      </c>
    </row>
    <row r="81" spans="1:12" ht="27.95" customHeight="1" x14ac:dyDescent="0.25">
      <c r="A81" s="5" t="s">
        <v>310</v>
      </c>
      <c r="B81" s="5" t="s">
        <v>283</v>
      </c>
      <c r="C81" s="5" t="s">
        <v>297</v>
      </c>
      <c r="D81" s="5" t="s">
        <v>311</v>
      </c>
      <c r="E81" s="5" t="s">
        <v>312</v>
      </c>
      <c r="F81" s="5" t="s">
        <v>115</v>
      </c>
      <c r="G81" s="5" t="s">
        <v>82</v>
      </c>
      <c r="H81" s="5" t="s">
        <v>83</v>
      </c>
      <c r="I81" s="6">
        <v>0</v>
      </c>
      <c r="J81" s="6">
        <v>1</v>
      </c>
      <c r="K81" s="14">
        <v>0.5</v>
      </c>
      <c r="L81" s="14">
        <v>1.5</v>
      </c>
    </row>
    <row r="82" spans="1:12" ht="18" customHeight="1" x14ac:dyDescent="0.25">
      <c r="A82" s="24" t="s">
        <v>313</v>
      </c>
      <c r="B82" s="16"/>
      <c r="C82" s="16"/>
      <c r="D82" s="16"/>
      <c r="E82" s="16"/>
      <c r="F82" s="16"/>
      <c r="G82" s="16"/>
      <c r="H82" s="16"/>
      <c r="I82" s="1">
        <v>2</v>
      </c>
      <c r="J82" s="1">
        <v>4</v>
      </c>
      <c r="K82" s="1">
        <v>2</v>
      </c>
      <c r="L82" s="1">
        <v>8</v>
      </c>
    </row>
    <row r="83" spans="1:12" ht="27.95" customHeight="1" x14ac:dyDescent="0.25">
      <c r="A83" s="3" t="s">
        <v>314</v>
      </c>
      <c r="B83" s="3" t="s">
        <v>315</v>
      </c>
      <c r="C83" s="3" t="s">
        <v>316</v>
      </c>
      <c r="D83" s="3" t="s">
        <v>317</v>
      </c>
      <c r="E83" s="3" t="s">
        <v>318</v>
      </c>
      <c r="F83" s="3" t="s">
        <v>81</v>
      </c>
      <c r="G83" s="3" t="s">
        <v>82</v>
      </c>
      <c r="H83" s="3" t="s">
        <v>83</v>
      </c>
      <c r="I83" s="4">
        <v>1</v>
      </c>
      <c r="J83" s="4">
        <v>2</v>
      </c>
      <c r="K83" s="13">
        <v>0.5</v>
      </c>
      <c r="L83" s="13">
        <v>3.5</v>
      </c>
    </row>
    <row r="84" spans="1:12" ht="27.95" customHeight="1" x14ac:dyDescent="0.25">
      <c r="A84" s="5" t="s">
        <v>319</v>
      </c>
      <c r="B84" s="5" t="s">
        <v>315</v>
      </c>
      <c r="C84" s="5" t="s">
        <v>316</v>
      </c>
      <c r="D84" s="5" t="s">
        <v>320</v>
      </c>
      <c r="E84" s="5" t="s">
        <v>321</v>
      </c>
      <c r="F84" s="5" t="s">
        <v>81</v>
      </c>
      <c r="G84" s="5" t="s">
        <v>82</v>
      </c>
      <c r="H84" s="5" t="s">
        <v>83</v>
      </c>
      <c r="I84" s="14">
        <v>0.5</v>
      </c>
      <c r="J84" s="6">
        <v>1</v>
      </c>
      <c r="K84" s="14">
        <v>0.5</v>
      </c>
      <c r="L84" s="6">
        <v>2</v>
      </c>
    </row>
    <row r="85" spans="1:12" ht="27.95" customHeight="1" x14ac:dyDescent="0.25">
      <c r="A85" s="3" t="s">
        <v>322</v>
      </c>
      <c r="B85" s="3" t="s">
        <v>315</v>
      </c>
      <c r="C85" s="3" t="s">
        <v>316</v>
      </c>
      <c r="D85" s="3" t="s">
        <v>323</v>
      </c>
      <c r="E85" s="3" t="s">
        <v>324</v>
      </c>
      <c r="F85" s="3" t="s">
        <v>115</v>
      </c>
      <c r="G85" s="3" t="s">
        <v>82</v>
      </c>
      <c r="H85" s="3" t="s">
        <v>83</v>
      </c>
      <c r="I85" s="13">
        <v>0.5</v>
      </c>
      <c r="J85" s="4">
        <v>1</v>
      </c>
      <c r="K85" s="4">
        <v>1</v>
      </c>
      <c r="L85" s="13">
        <v>2.5</v>
      </c>
    </row>
    <row r="86" spans="1:12" ht="18" customHeight="1" x14ac:dyDescent="0.25">
      <c r="A86" s="24" t="s">
        <v>325</v>
      </c>
      <c r="B86" s="16"/>
      <c r="C86" s="16"/>
      <c r="D86" s="16"/>
      <c r="E86" s="16"/>
      <c r="F86" s="16"/>
      <c r="G86" s="16"/>
      <c r="H86" s="16"/>
      <c r="I86" s="1">
        <v>1</v>
      </c>
      <c r="J86" s="1">
        <v>9</v>
      </c>
      <c r="K86" s="1">
        <v>4</v>
      </c>
      <c r="L86" s="1">
        <v>14</v>
      </c>
    </row>
    <row r="87" spans="1:12" ht="27.95" customHeight="1" x14ac:dyDescent="0.25">
      <c r="A87" s="3" t="s">
        <v>326</v>
      </c>
      <c r="B87" s="3" t="s">
        <v>327</v>
      </c>
      <c r="C87" s="3" t="s">
        <v>328</v>
      </c>
      <c r="D87" s="3" t="s">
        <v>329</v>
      </c>
      <c r="E87" s="3" t="s">
        <v>330</v>
      </c>
      <c r="F87" s="3" t="s">
        <v>331</v>
      </c>
      <c r="G87" s="3" t="s">
        <v>82</v>
      </c>
      <c r="H87" s="3" t="s">
        <v>83</v>
      </c>
      <c r="I87" s="13">
        <v>0.5</v>
      </c>
      <c r="J87" s="4">
        <v>2</v>
      </c>
      <c r="K87" s="4">
        <v>1</v>
      </c>
      <c r="L87" s="13">
        <v>3.5</v>
      </c>
    </row>
    <row r="88" spans="1:12" ht="27.95" customHeight="1" x14ac:dyDescent="0.25">
      <c r="A88" s="5" t="s">
        <v>332</v>
      </c>
      <c r="B88" s="5" t="s">
        <v>327</v>
      </c>
      <c r="C88" s="5" t="s">
        <v>328</v>
      </c>
      <c r="D88" s="5" t="s">
        <v>333</v>
      </c>
      <c r="E88" s="5" t="s">
        <v>334</v>
      </c>
      <c r="F88" s="5" t="s">
        <v>335</v>
      </c>
      <c r="G88" s="5" t="s">
        <v>82</v>
      </c>
      <c r="H88" s="5" t="s">
        <v>83</v>
      </c>
      <c r="I88" s="6">
        <v>0</v>
      </c>
      <c r="J88" s="6">
        <v>2</v>
      </c>
      <c r="K88" s="6">
        <v>1</v>
      </c>
      <c r="L88" s="6">
        <v>3</v>
      </c>
    </row>
    <row r="89" spans="1:12" ht="27.95" customHeight="1" x14ac:dyDescent="0.25">
      <c r="A89" s="3" t="s">
        <v>336</v>
      </c>
      <c r="B89" s="3" t="s">
        <v>327</v>
      </c>
      <c r="C89" s="3" t="s">
        <v>328</v>
      </c>
      <c r="D89" s="3" t="s">
        <v>337</v>
      </c>
      <c r="E89" s="3" t="s">
        <v>338</v>
      </c>
      <c r="F89" s="3" t="s">
        <v>335</v>
      </c>
      <c r="G89" s="3" t="s">
        <v>82</v>
      </c>
      <c r="H89" s="3" t="s">
        <v>83</v>
      </c>
      <c r="I89" s="4">
        <v>0</v>
      </c>
      <c r="J89" s="4">
        <v>2</v>
      </c>
      <c r="K89" s="4">
        <v>1</v>
      </c>
      <c r="L89" s="4">
        <v>3</v>
      </c>
    </row>
    <row r="90" spans="1:12" ht="27.95" customHeight="1" x14ac:dyDescent="0.25">
      <c r="A90" s="5" t="s">
        <v>339</v>
      </c>
      <c r="B90" s="5" t="s">
        <v>327</v>
      </c>
      <c r="C90" s="5" t="s">
        <v>328</v>
      </c>
      <c r="D90" s="5" t="s">
        <v>340</v>
      </c>
      <c r="E90" s="5" t="s">
        <v>341</v>
      </c>
      <c r="F90" s="5" t="s">
        <v>115</v>
      </c>
      <c r="G90" s="5" t="s">
        <v>82</v>
      </c>
      <c r="H90" s="5" t="s">
        <v>83</v>
      </c>
      <c r="I90" s="14">
        <v>0.5</v>
      </c>
      <c r="J90" s="6">
        <v>3</v>
      </c>
      <c r="K90" s="6">
        <v>1</v>
      </c>
      <c r="L90" s="14">
        <v>4.5</v>
      </c>
    </row>
    <row r="92" spans="1:12" ht="24" customHeight="1" x14ac:dyDescent="0.25">
      <c r="A92" s="25" t="s">
        <v>342</v>
      </c>
      <c r="B92" s="16"/>
      <c r="C92" s="16"/>
      <c r="D92" s="16"/>
      <c r="E92" s="16"/>
      <c r="F92" s="16"/>
      <c r="G92" s="16"/>
      <c r="H92" s="16"/>
      <c r="I92" s="11">
        <v>35</v>
      </c>
      <c r="J92" s="11">
        <v>123</v>
      </c>
      <c r="K92" s="11">
        <v>44</v>
      </c>
      <c r="L92" s="11">
        <v>202</v>
      </c>
    </row>
    <row r="94" spans="1:12" x14ac:dyDescent="0.25">
      <c r="A94" s="17" t="s">
        <v>343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spans="1:12" ht="38.25" customHeight="1" x14ac:dyDescent="0.25">
      <c r="A95" s="27" t="s">
        <v>74</v>
      </c>
      <c r="B95" s="28"/>
      <c r="C95" s="2" t="s">
        <v>12</v>
      </c>
      <c r="D95" s="2" t="s">
        <v>13</v>
      </c>
      <c r="E95" s="2" t="s">
        <v>14</v>
      </c>
      <c r="F95" s="2" t="s">
        <v>344</v>
      </c>
    </row>
    <row r="96" spans="1:12" ht="18" customHeight="1" x14ac:dyDescent="0.25">
      <c r="A96" s="29" t="s">
        <v>83</v>
      </c>
      <c r="B96" s="30"/>
      <c r="C96" s="4">
        <v>0.5</v>
      </c>
      <c r="D96" s="4">
        <v>1.5</v>
      </c>
      <c r="E96" s="4">
        <v>0.5</v>
      </c>
      <c r="F96" s="4">
        <v>2.5</v>
      </c>
    </row>
    <row r="97" spans="1:6" ht="18" customHeight="1" x14ac:dyDescent="0.25">
      <c r="A97" s="31" t="s">
        <v>170</v>
      </c>
      <c r="B97" s="32"/>
      <c r="C97" s="6">
        <v>1</v>
      </c>
      <c r="D97" s="6">
        <v>3</v>
      </c>
      <c r="E97" s="6">
        <v>1</v>
      </c>
      <c r="F97" s="6">
        <v>5</v>
      </c>
    </row>
    <row r="98" spans="1:6" ht="18" customHeight="1" x14ac:dyDescent="0.25">
      <c r="A98" s="29" t="s">
        <v>89</v>
      </c>
      <c r="B98" s="30"/>
      <c r="C98" s="4">
        <v>2</v>
      </c>
      <c r="D98" s="4">
        <v>5</v>
      </c>
      <c r="E98" s="4">
        <v>2</v>
      </c>
      <c r="F98" s="4">
        <v>9</v>
      </c>
    </row>
  </sheetData>
  <mergeCells count="18">
    <mergeCell ref="A95:B95"/>
    <mergeCell ref="A96:B96"/>
    <mergeCell ref="A97:B97"/>
    <mergeCell ref="A98:B98"/>
    <mergeCell ref="A1:L1"/>
    <mergeCell ref="A51:H51"/>
    <mergeCell ref="A64:H64"/>
    <mergeCell ref="A82:H82"/>
    <mergeCell ref="A94:L94"/>
    <mergeCell ref="A33:H33"/>
    <mergeCell ref="A23:H23"/>
    <mergeCell ref="A58:H58"/>
    <mergeCell ref="A40:H40"/>
    <mergeCell ref="A9:H9"/>
    <mergeCell ref="A3:H3"/>
    <mergeCell ref="A92:H92"/>
    <mergeCell ref="A86:H86"/>
    <mergeCell ref="A71:H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Ringkasan</vt:lpstr>
      <vt:lpstr>Semua Fase (408)</vt:lpstr>
      <vt:lpstr>Build Detail (202)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Stefanus Ade Maryadi</cp:lastModifiedBy>
  <dcterms:created xsi:type="dcterms:W3CDTF">2026-07-01T11:13:12Z</dcterms:created>
  <dcterms:modified xsi:type="dcterms:W3CDTF">2026-07-01T11:42:39Z</dcterms:modified>
</cp:coreProperties>
</file>