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14_Company_Settings" sheetId="2" r:id="rId5"/>
    <sheet state="visible" name="06_COA" sheetId="3" r:id="rId6"/>
    <sheet state="visible" name="07_Taxes" sheetId="4" r:id="rId7"/>
    <sheet state="visible" name="08_Journals" sheetId="5" r:id="rId8"/>
    <sheet state="visible" name="09_Asset_Groups" sheetId="6" r:id="rId9"/>
    <sheet state="visible" name="10_Asset_Locations" sheetId="7" r:id="rId10"/>
    <sheet state="visible" name="01_Categories" sheetId="8" r:id="rId11"/>
    <sheet state="visible" name="04_Customers" sheetId="9" r:id="rId12"/>
    <sheet state="visible" name="05_Principals" sheetId="10" r:id="rId13"/>
    <sheet state="visible" name="02_Products" sheetId="11" r:id="rId14"/>
    <sheet state="visible" name="03_Rental_Pricing" sheetId="12" r:id="rId15"/>
    <sheet state="visible" name="11_Drone_Kit_Components" sheetId="13" r:id="rId16"/>
    <sheet state="visible" name="12_Damage_Tariffs" sheetId="14" r:id="rId17"/>
    <sheet state="visible" name="13_Drone_Cards" sheetId="15" r:id="rId18"/>
    <sheet state="visible" name="99_Reference_Lists" sheetId="16" r:id="rId19"/>
  </sheets>
  <definedNames/>
  <calcPr/>
  <extLst>
    <ext uri="GoogleSheetsCustomDataVersion2">
      <go:sheetsCustomData xmlns:go="http://customooxmlschemas.google.com/" r:id="rId20" roundtripDataChecksum="MJLltoiG4RxtL6UqAWkbMckozzXPYJ8HSaU+Ze/PhS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ID#AAAB5jFC3dc
Titie Wiji    (2026-05-18 15:52:20)
Pak @iing.risyanto@erajaya.com need help di sini ya
_Assigned to iing.risyanto_</t>
      </text>
    </comment>
  </commentList>
  <extLst>
    <ext uri="GoogleSheetsCustomDataVersion2">
      <go:sheetsCustomData xmlns:go="http://customooxmlschemas.google.com/" r:id="rId1" roundtripDataSignature="AMtx7mijwFKquk0xi4yOiXuDWAO391jVm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ID#AAAB5jFC3dg
Titie Wiji    (2026-05-18 15:52:39)
sama di sini juga ya pak @iing.risyanto@erajaya.com
_Assigned to iing.risyanto_</t>
      </text>
    </comment>
  </commentList>
  <extLst>
    <ext uri="GoogleSheetsCustomDataVersion2">
      <go:sheetsCustomData xmlns:go="http://customooxmlschemas.google.com/" r:id="rId1" roundtripDataSignature="AMtx7mihIGlxujsOmP81+fLkSc937+QBHQ=="/>
    </ext>
  </extLst>
</comments>
</file>

<file path=xl/sharedStrings.xml><?xml version="1.0" encoding="utf-8"?>
<sst xmlns="http://schemas.openxmlformats.org/spreadsheetml/2006/main" count="2841" uniqueCount="1540">
  <si>
    <t>ARKA-AIM Master Data Import Template</t>
  </si>
  <si>
    <t xml:space="preserve">Template ini digunakan untuk migrasi data master &amp; konfigurasi awal sistem ARKA-AIM (Odoo 18 + addon era_*). Diselaraskan dengan model terbaru per cut-off dokumentasi.
Legenda kolom:
  • Field name (baris 4)  — nama teknis di Odoo (gunakan saat mapping import).
  • Label (baris 5)       — judul human-readable.
  • WAJIB / KONDISIONAL / opsional (baris 6).
  • Petunjuk (baris 7)    — format &amp; contoh nilai.
Konvensi:
  • Tanggal: format YYYY-MM-DD.
  • Mata uang default IDR; jangan menulis pemisah ribuan ("." / ",").
  • Kolom relasional (Many2one) diisi dengan kode unik / external id yang sudah didefinisikan di sheet master terkait — contoh: "CAT-DRONE", "PART-PRINCIPAL-001".
  • Boolean: TRUE / FALSE (atau 1 / 0).
Urutan import yang disarankan:
  1) Reference Lists (selection values, sebagai acuan)
  2) Company Settings
  3) COA (Chart of Accounts)
  4) Taxes (PPN, PPh)
  5) Journals
  6) Asset Groups &amp; Locations
  7) Categories
  8) Customers
  9) Principals (Vendors)
 10) Products
 11) Rental Pricing
 12) Drone Kit Components
 13) Damage Charge Tariffs
 14) Drone Cards (per-unit)
</t>
  </si>
  <si>
    <t>14 — Company Settings (res.company)</t>
  </si>
  <si>
    <t>Konfigurasi per company: approval invoice, credit limit default (era_accounting), parameter rental (era_rental.res.company).</t>
  </si>
  <si>
    <t>external_id</t>
  </si>
  <si>
    <t>name</t>
  </si>
  <si>
    <t>vat</t>
  </si>
  <si>
    <t>currency</t>
  </si>
  <si>
    <t>country_code</t>
  </si>
  <si>
    <t>era_require_invoice_approval</t>
  </si>
  <si>
    <t>era_invoice_approval_threshold</t>
  </si>
  <si>
    <t>era_default_credit_limit</t>
  </si>
  <si>
    <t>rental_security_time</t>
  </si>
  <si>
    <t>rental_padding_time</t>
  </si>
  <si>
    <t>rental_extra_hourly_factor</t>
  </si>
  <si>
    <t>rental_extra_daily_factor</t>
  </si>
  <si>
    <t>default_sale_journal</t>
  </si>
  <si>
    <t>default_purchase_journal</t>
  </si>
  <si>
    <t>default_pos_journal</t>
  </si>
  <si>
    <t>fiscal_year_start</t>
  </si>
  <si>
    <t>External ID Company</t>
  </si>
  <si>
    <t>Nama Company</t>
  </si>
  <si>
    <t>NPWP Company</t>
  </si>
  <si>
    <t>Currency Default</t>
  </si>
  <si>
    <t>Negara</t>
  </si>
  <si>
    <t>Wajib Approval Invoice?</t>
  </si>
  <si>
    <t>Threshold Approval (IDR)</t>
  </si>
  <si>
    <t>Default Customer Credit Limit (IDR)</t>
  </si>
  <si>
    <t>Rental Security Time (jam)</t>
  </si>
  <si>
    <t>Rental Padding Time (jam)</t>
  </si>
  <si>
    <t>Late Fee Factor (jam)</t>
  </si>
  <si>
    <t>Late Fee Factor (hari)</t>
  </si>
  <si>
    <t>Default Journal Penjualan</t>
  </si>
  <si>
    <t>Default Journal Pembelian</t>
  </si>
  <si>
    <t>Default Journal POS</t>
  </si>
  <si>
    <t>Awal Tahun Fiskal</t>
  </si>
  <si>
    <t>WAJIB</t>
  </si>
  <si>
    <t>KONDISIONAL</t>
  </si>
  <si>
    <t>opsional</t>
  </si>
  <si>
    <t>Contoh: COMP-ARKA-AIM (kosong = main).</t>
  </si>
  <si>
    <t>IDR.</t>
  </si>
  <si>
    <t>ID.</t>
  </si>
  <si>
    <t>TRUE → invoice harus di-approve sebelum post.</t>
  </si>
  <si>
    <t>Hanya invoice ≥ nilai ini yg butuh approval. 0 = semua.</t>
  </si>
  <si>
    <t>Diaplikasikan ke customer baru.</t>
  </si>
  <si>
    <t>Default 1.0. Buffer untuk persiapan/cleaning equipment.</t>
  </si>
  <si>
    <t>Default 0.0. Idle minimum antar dua sewa unit yg sama.</t>
  </si>
  <si>
    <t>Default 1.0. Multiplier extra_hourly produk.</t>
  </si>
  <si>
    <t>Default 1.0.</t>
  </si>
  <si>
    <t>External ID journal.</t>
  </si>
  <si>
    <t>Default 01-01 (mm-dd).</t>
  </si>
  <si>
    <t>COMP-ARKA</t>
  </si>
  <si>
    <t>PT Arka Aerial Indonesia</t>
  </si>
  <si>
    <t>01.555.666.7-008.000</t>
  </si>
  <si>
    <t>IDR</t>
  </si>
  <si>
    <t>ID</t>
  </si>
  <si>
    <t>TRUE</t>
  </si>
  <si>
    <t>JRN-SALE</t>
  </si>
  <si>
    <t>JRN-PUR</t>
  </si>
  <si>
    <t>01-01</t>
  </si>
  <si>
    <t>COMP-AIM</t>
  </si>
  <si>
    <t>PT Aero Inovasi Media</t>
  </si>
  <si>
    <t>28.323.379.9-047.000</t>
  </si>
  <si>
    <t>FALSE</t>
  </si>
  <si>
    <t>06 — Chart of Accounts (account.account)</t>
  </si>
  <si>
    <t>COA mengikuti PSAK &amp; era_report_tag dari era_accounting. Tagging report_tag dipakai untuk laporan P&amp;L/BS internal.</t>
  </si>
  <si>
    <t>code</t>
  </si>
  <si>
    <t>account_type</t>
  </si>
  <si>
    <t>era_report_tag</t>
  </si>
  <si>
    <t>era_is_consolidation</t>
  </si>
  <si>
    <t>reconcile</t>
  </si>
  <si>
    <t>currency_id</t>
  </si>
  <si>
    <t>tag_ids</t>
  </si>
  <si>
    <t>group_id</t>
  </si>
  <si>
    <t>note</t>
  </si>
  <si>
    <t>External ID</t>
  </si>
  <si>
    <t>Kode Akun</t>
  </si>
  <si>
    <t>Nama Akun</t>
  </si>
  <si>
    <t>Account Type (Odoo)</t>
  </si>
  <si>
    <t>ERA Report Tag</t>
  </si>
  <si>
    <t>Consolidation Acc?</t>
  </si>
  <si>
    <t>Reconcile?</t>
  </si>
  <si>
    <t>Mata Uang</t>
  </si>
  <si>
    <t>Tag</t>
  </si>
  <si>
    <t>Account Group</t>
  </si>
  <si>
    <t>Catatan</t>
  </si>
  <si>
    <t>Wajib unik. Contoh: COA-1101.</t>
  </si>
  <si>
    <t>Nomor akun (4 digit minimal). Contoh: 1101.</t>
  </si>
  <si>
    <t>Mis: asset_cash, asset_receivable, asset_current, asset_non_current, asset_fixed, asset_prepayments, liability_payable, liability_credit_card, liability_current, liability_non_current, equity, equity_unaffected, income, income_other, expense, expense_depreciation, expense_direct_cost, off_balance.</t>
  </si>
  <si>
    <t>operating_revenue / other_revenue / cogs / operating_expense / other_expense / financing_expense / tax_expense / current_asset / fixed_asset / current_liability / non_current_liability / equity.</t>
  </si>
  <si>
    <t>TRUE → hanya untuk laporan konsolidasi.</t>
  </si>
  <si>
    <t>TRUE utk akun yang perlu rekonsiliasi (piutang, hutang, kas).</t>
  </si>
  <si>
    <t>Kode currency (IDR/USD). Default = currency company.</t>
  </si>
  <si>
    <t>Pisahkan dengan "|" jika multi.</t>
  </si>
  <si>
    <t>COA-1101</t>
  </si>
  <si>
    <t>1101</t>
  </si>
  <si>
    <t>Kas</t>
  </si>
  <si>
    <t>asset_cash</t>
  </si>
  <si>
    <t>current_asset</t>
  </si>
  <si>
    <t>COA-1102</t>
  </si>
  <si>
    <t>1102</t>
  </si>
  <si>
    <t>Bank BCA - Operasional</t>
  </si>
  <si>
    <t>COA-1110</t>
  </si>
  <si>
    <t>1110</t>
  </si>
  <si>
    <t>Piutang Usaha</t>
  </si>
  <si>
    <t>asset_receivable</t>
  </si>
  <si>
    <t>COA-1120</t>
  </si>
  <si>
    <t>1120</t>
  </si>
  <si>
    <t>Persediaan Drone</t>
  </si>
  <si>
    <t>asset_current</t>
  </si>
  <si>
    <t>COA-1140</t>
  </si>
  <si>
    <t>1140</t>
  </si>
  <si>
    <t>Stock Valuation</t>
  </si>
  <si>
    <t>COA-1141</t>
  </si>
  <si>
    <t>1141</t>
  </si>
  <si>
    <t>Stock Input</t>
  </si>
  <si>
    <t>COA-1142</t>
  </si>
  <si>
    <t>1142</t>
  </si>
  <si>
    <t>Stock Output</t>
  </si>
  <si>
    <t>COA-1150</t>
  </si>
  <si>
    <t>1150</t>
  </si>
  <si>
    <t>PPN Masukan</t>
  </si>
  <si>
    <t>COA-1500</t>
  </si>
  <si>
    <t>1500</t>
  </si>
  <si>
    <t>Aset Tetap - Drone</t>
  </si>
  <si>
    <t>asset_fixed</t>
  </si>
  <si>
    <t>fixed_asset</t>
  </si>
  <si>
    <t>COA-1590</t>
  </si>
  <si>
    <t>1590</t>
  </si>
  <si>
    <t>Akumulasi Penyusutan Drone</t>
  </si>
  <si>
    <t>COA-2101</t>
  </si>
  <si>
    <t>2101</t>
  </si>
  <si>
    <t>Hutang Usaha</t>
  </si>
  <si>
    <t>liability_payable</t>
  </si>
  <si>
    <t>current_liability</t>
  </si>
  <si>
    <t>COA-2120</t>
  </si>
  <si>
    <t>2120</t>
  </si>
  <si>
    <t>PPN Keluaran</t>
  </si>
  <si>
    <t>liability_current</t>
  </si>
  <si>
    <t>COA-2130</t>
  </si>
  <si>
    <t>2130</t>
  </si>
  <si>
    <t>PPh 23 Hutang</t>
  </si>
  <si>
    <t>COA-2131</t>
  </si>
  <si>
    <t>2131</t>
  </si>
  <si>
    <t>PPh 22 Hutang</t>
  </si>
  <si>
    <t>COA-3101</t>
  </si>
  <si>
    <t>3101</t>
  </si>
  <si>
    <t>Modal Disetor</t>
  </si>
  <si>
    <t>equity</t>
  </si>
  <si>
    <t>COA-3201</t>
  </si>
  <si>
    <t>3201</t>
  </si>
  <si>
    <t>Laba Ditahan</t>
  </si>
  <si>
    <t>equity_unaffected</t>
  </si>
  <si>
    <t>COA-4101</t>
  </si>
  <si>
    <t>4101</t>
  </si>
  <si>
    <t>Pendapatan Penjualan Drone</t>
  </si>
  <si>
    <t>income</t>
  </si>
  <si>
    <t>operating_revenue</t>
  </si>
  <si>
    <t>COA-4102</t>
  </si>
  <si>
    <t>4102</t>
  </si>
  <si>
    <t>Pendapatan Sewa Drone</t>
  </si>
  <si>
    <t>COA-4103</t>
  </si>
  <si>
    <t>4103</t>
  </si>
  <si>
    <t>Pendapatan Jasa Repair</t>
  </si>
  <si>
    <t>COA-4901</t>
  </si>
  <si>
    <t>4901</t>
  </si>
  <si>
    <t>Pendapatan Lain-lain</t>
  </si>
  <si>
    <t>income_other</t>
  </si>
  <si>
    <t>other_revenue</t>
  </si>
  <si>
    <t>COA-5101</t>
  </si>
  <si>
    <t>5101</t>
  </si>
  <si>
    <t>HPP - Drone</t>
  </si>
  <si>
    <t>expense_direct_cost</t>
  </si>
  <si>
    <t>cogs</t>
  </si>
  <si>
    <t>COA-5102</t>
  </si>
  <si>
    <t>5102</t>
  </si>
  <si>
    <t>HPP - Sewa</t>
  </si>
  <si>
    <t>COA-6101</t>
  </si>
  <si>
    <t>6101</t>
  </si>
  <si>
    <t>Beban Gaji</t>
  </si>
  <si>
    <t>expense</t>
  </si>
  <si>
    <t>operating_expense</t>
  </si>
  <si>
    <t>COA-6102</t>
  </si>
  <si>
    <t>6102</t>
  </si>
  <si>
    <t>Beban Sewa Kantor</t>
  </si>
  <si>
    <t>COA-6201</t>
  </si>
  <si>
    <t>6201</t>
  </si>
  <si>
    <t>Beban Penyusutan</t>
  </si>
  <si>
    <t>expense_depreciation</t>
  </si>
  <si>
    <t>COA-6301</t>
  </si>
  <si>
    <t>6301</t>
  </si>
  <si>
    <t>Beban Bunga</t>
  </si>
  <si>
    <t>financing_expense</t>
  </si>
  <si>
    <t>COA-6401</t>
  </si>
  <si>
    <t>6401</t>
  </si>
  <si>
    <t>Beban Pajak</t>
  </si>
  <si>
    <t>tax_expense</t>
  </si>
  <si>
    <t>Cash on hand - IDR</t>
  </si>
  <si>
    <t>Cash on hand - USD</t>
  </si>
  <si>
    <t>Cash on hand - MYR</t>
  </si>
  <si>
    <t>Cash on hand - SGD</t>
  </si>
  <si>
    <t>BCA - IDR-268.222.9595 - Main Bank</t>
  </si>
  <si>
    <t>BCA - IDR-268.262.6268 - Main Bank</t>
  </si>
  <si>
    <t>BCA - IDR-268.695.5777 - Main Bank</t>
  </si>
  <si>
    <t>BCA - IDR-268.150.7878 - Main Bank</t>
  </si>
  <si>
    <t>Gold Bullions</t>
  </si>
  <si>
    <t>Time Deposit-IDR-PT Bank Central Asia Tbk</t>
  </si>
  <si>
    <t>Time Deposit-IDR-PT Bank Rakyat Indonesia Tbk</t>
  </si>
  <si>
    <t>Time Deposit-IDR-PT Bank Nasional Indonesia Tbk</t>
  </si>
  <si>
    <t>Trade Receivables - Third Parties</t>
  </si>
  <si>
    <t>Vendor with debit balances - Trade third parties</t>
  </si>
  <si>
    <t>Customer for receivables adj-Trade third parties</t>
  </si>
  <si>
    <t>Trade Receivables - Related Parties</t>
  </si>
  <si>
    <t>Unbilled Trade Receivables  - Related Parties</t>
  </si>
  <si>
    <t>Trade Receivables - Related Parties (forex)</t>
  </si>
  <si>
    <t>Allowance for impairment of trade rec-Third Party</t>
  </si>
  <si>
    <t>Allowance for impairment of trade rec-Relate Party</t>
  </si>
  <si>
    <t>Allowance for impairment of other rec-Third Party</t>
  </si>
  <si>
    <t>Allowance for impairment of other rec-Relate Party</t>
  </si>
  <si>
    <t>Employee Receivables</t>
  </si>
  <si>
    <t>Non Trade Receivables - cash advance</t>
  </si>
  <si>
    <t>Unbilled Non Trade Receivables  - Third Parties</t>
  </si>
  <si>
    <t>Unbilled Non Trade Receivables  - Third - Claim</t>
  </si>
  <si>
    <t>Non Trade Receivables - Third Parties</t>
  </si>
  <si>
    <t>Interest Receivables - Third Parties</t>
  </si>
  <si>
    <t>Other Non Trade Receivables - third parties</t>
  </si>
  <si>
    <t>Vendor with debit balances-Non Trade-Third parties</t>
  </si>
  <si>
    <t>BIC unsettled Receivable - Non Trade third parties</t>
  </si>
  <si>
    <t>Customer for receivable adj-Non Trade third party</t>
  </si>
  <si>
    <t>Non Trade Receivables - Third Parties (forex)</t>
  </si>
  <si>
    <t>Non Trade Receivables - Related Parties</t>
  </si>
  <si>
    <t>Intercompany Interest Receivables - Related Party</t>
  </si>
  <si>
    <t>Unbilled Non Trade Receivables  - Related Parties</t>
  </si>
  <si>
    <t>Non Trade Receivables - Related Parties (forex)</t>
  </si>
  <si>
    <t>Intercompany loan Receivables</t>
  </si>
  <si>
    <t>Other current financial assets</t>
  </si>
  <si>
    <t>Convertible notes</t>
  </si>
  <si>
    <t>Derivative Asset</t>
  </si>
  <si>
    <t>Inventory-Device &amp; Tablet</t>
  </si>
  <si>
    <t>Inventory-Gadget &amp; Accessories</t>
  </si>
  <si>
    <t>Inventory-Computers</t>
  </si>
  <si>
    <t>Inventory-Consumer Electronics</t>
  </si>
  <si>
    <t>Inventory-Carrier</t>
  </si>
  <si>
    <t>Inventory-Lifestyle</t>
  </si>
  <si>
    <t>Inventory-Value Added Service</t>
  </si>
  <si>
    <t>Inventory-Digital Product</t>
  </si>
  <si>
    <t>Inventory-Component</t>
  </si>
  <si>
    <t>Inventory-Spare part (Service)</t>
  </si>
  <si>
    <t>Inventory-Cosmetics</t>
  </si>
  <si>
    <t>Inventory-Medical &amp; Health Industry</t>
  </si>
  <si>
    <t>Inventory-Pods</t>
  </si>
  <si>
    <t>Inventory-In Warranty</t>
  </si>
  <si>
    <t>Inventory-Software</t>
  </si>
  <si>
    <t>Inventories-Food &amp; Beverage</t>
  </si>
  <si>
    <t>Inventories-textile</t>
  </si>
  <si>
    <t>Inventories-footwear</t>
  </si>
  <si>
    <t>Inventories-accessories</t>
  </si>
  <si>
    <t>Inventories-miscellaneous</t>
  </si>
  <si>
    <t>Inventories-wholesale</t>
  </si>
  <si>
    <t>Inventories-e-commerce / internet revenue</t>
  </si>
  <si>
    <t>Inventories-clearance</t>
  </si>
  <si>
    <t>Inventories-distributor revenue</t>
  </si>
  <si>
    <t>Inventories-Hard Goods</t>
  </si>
  <si>
    <t>Inventory-Merchandise-non commercial</t>
  </si>
  <si>
    <t>Inventory-Others</t>
  </si>
  <si>
    <t>Stock in transit</t>
  </si>
  <si>
    <t>Allwnce for obslscnc n decline in val of inventory</t>
  </si>
  <si>
    <t>Stock Revaluation</t>
  </si>
  <si>
    <t>Stock - swap device (clearing account)</t>
  </si>
  <si>
    <t>Inventory Non Commercial-Device &amp; Tablet</t>
  </si>
  <si>
    <t>Inventory Non Commercial-Gadget &amp; Accessories</t>
  </si>
  <si>
    <t>Inventory Non Commercial-Computers</t>
  </si>
  <si>
    <t>Inventory Non Commercial-Consumer Electronics</t>
  </si>
  <si>
    <t>Inventory Non Commercial-Carrier</t>
  </si>
  <si>
    <t>Inventory Non Commercial-Lifestyle</t>
  </si>
  <si>
    <t>Inventory Non Commercial-Value Added Service</t>
  </si>
  <si>
    <t>Inventory Non Commercial-Digital Product</t>
  </si>
  <si>
    <t>Inventory Non Commercial-Component</t>
  </si>
  <si>
    <t>Inventory Non Commercial-Spare part (Service)</t>
  </si>
  <si>
    <t>Inventory Non Commercial-Cosmetics</t>
  </si>
  <si>
    <t>Inventory Non Commercial-Medical&amp;Health Industry</t>
  </si>
  <si>
    <t>Inventory Non Commercial-Pods</t>
  </si>
  <si>
    <t>Inventory Non Commercial-In Warranty</t>
  </si>
  <si>
    <t>Inventory Non Commercial-Software</t>
  </si>
  <si>
    <t>Inventory Non Commercial-Hard Goods</t>
  </si>
  <si>
    <t>Giftcard-clearing</t>
  </si>
  <si>
    <t>Inventory Non Commercial-Other Current Assets</t>
  </si>
  <si>
    <t>Inventory Non Commercial-Others</t>
  </si>
  <si>
    <t>Down Payment - Trade</t>
  </si>
  <si>
    <t>asset_prepayments</t>
  </si>
  <si>
    <t>Advance for payment of operational expenses</t>
  </si>
  <si>
    <t>Advance on stock subscription</t>
  </si>
  <si>
    <t>Advance from intercompanies</t>
  </si>
  <si>
    <t>Advance on stock subscription-related</t>
  </si>
  <si>
    <t>Building insurance</t>
  </si>
  <si>
    <t>Vehicles insurance</t>
  </si>
  <si>
    <t>Prepaid Inventories insurance</t>
  </si>
  <si>
    <t>Medical insurance</t>
  </si>
  <si>
    <t>Cash outlet Insurance</t>
  </si>
  <si>
    <t>Prepaid Other insurance</t>
  </si>
  <si>
    <t>Other prepaid expenses</t>
  </si>
  <si>
    <t>Prepaid Provision expenses</t>
  </si>
  <si>
    <t>Prepaid-Office supplies</t>
  </si>
  <si>
    <t>Prepaid-E Materai</t>
  </si>
  <si>
    <t>Prepaid rent - current portion</t>
  </si>
  <si>
    <t>Prepaid Income tax art. 22</t>
  </si>
  <si>
    <t>Current Assets</t>
  </si>
  <si>
    <t>Prepaid Income tax art. 23</t>
  </si>
  <si>
    <t>Prepaid Income tax art. 24</t>
  </si>
  <si>
    <t>Prepaid Income tax art. 25</t>
  </si>
  <si>
    <t>VAT In</t>
  </si>
  <si>
    <t>VAT In - not yet invoiced</t>
  </si>
  <si>
    <t>GST-IN</t>
  </si>
  <si>
    <t>Tax Deposit</t>
  </si>
  <si>
    <t>Estimated claim for tax refund - current</t>
  </si>
  <si>
    <t>Deferred tax assets-Inventories</t>
  </si>
  <si>
    <t>Non-current Assets</t>
  </si>
  <si>
    <t>Deferred tax assets-Account receivables</t>
  </si>
  <si>
    <t>Deferred tax assets-Liability for employee benefit</t>
  </si>
  <si>
    <t>Deferred tax assets-Fixed assets</t>
  </si>
  <si>
    <t>Deferred tax assets-Foreign curr translation of FS</t>
  </si>
  <si>
    <t>Deferred tax assets-Dividend</t>
  </si>
  <si>
    <t>Deferred tax assets-Customer Loyalty Programmes</t>
  </si>
  <si>
    <t>Deferred tax assets-Right of Use Assets</t>
  </si>
  <si>
    <t>Deferred tax assets-PKWT</t>
  </si>
  <si>
    <t>Deferred tax assets-Tax Loss Carry Forward</t>
  </si>
  <si>
    <t>Loan to employees</t>
  </si>
  <si>
    <t>INVESTMENT&gt;=20&amp;&lt;50%</t>
  </si>
  <si>
    <t>INVESTMENT &gt;=50%</t>
  </si>
  <si>
    <t>INVESTMENT-OTHER</t>
  </si>
  <si>
    <t>Fixed Assets - Cost - Land</t>
  </si>
  <si>
    <t>Fixed Assets</t>
  </si>
  <si>
    <t>Fixed Assets - Cost - Building and improvements</t>
  </si>
  <si>
    <t>Fixed Assets - Cost - Vehicles</t>
  </si>
  <si>
    <t>Fixed Assets - Cost - Office and outlet equipment</t>
  </si>
  <si>
    <t>Fixed Assets - Cost - Machinery</t>
  </si>
  <si>
    <t>Fixed Assets - Cost - Furniture and fixtures</t>
  </si>
  <si>
    <t>Fixed asset-Accum depre-Building and improvements</t>
  </si>
  <si>
    <t>Fixed assets - Accumulated depreciation - Vehicles</t>
  </si>
  <si>
    <t>Fixed asset-Accum depre-Office and outlet equipmnt</t>
  </si>
  <si>
    <t>Fixed asset-Accum depre-Machinery</t>
  </si>
  <si>
    <t>Fixed asset-Accum depre-Furniture and fixtures</t>
  </si>
  <si>
    <t>Accumulated Loss on Impair-Land</t>
  </si>
  <si>
    <t>Accumulated Loss on Impair-Building &amp; improvements</t>
  </si>
  <si>
    <t>Asset under construction - Land</t>
  </si>
  <si>
    <t>Asset under construction-Building and improvements</t>
  </si>
  <si>
    <t>Asset under construction - Vehicles</t>
  </si>
  <si>
    <t>Asset under construction-Office n outlet equipment</t>
  </si>
  <si>
    <t>Asset under construction - Machinery</t>
  </si>
  <si>
    <t>Asset under construction - Furniture and fixtures</t>
  </si>
  <si>
    <t>Asset under construction - Intangible Assets</t>
  </si>
  <si>
    <t>Asset under construction - Software</t>
  </si>
  <si>
    <t>Technical clearing account for Asset</t>
  </si>
  <si>
    <t>Right of Use Asset-Cost-Building and improvements</t>
  </si>
  <si>
    <t>Right of Use Asset-Accum depre-Building n improve</t>
  </si>
  <si>
    <t>Software</t>
  </si>
  <si>
    <t>Accum. Amortization Software</t>
  </si>
  <si>
    <t>Goodwill - net</t>
  </si>
  <si>
    <t>Accumulated Loss on Impair-Goodwill</t>
  </si>
  <si>
    <t>Advances for purchase of fixed assets</t>
  </si>
  <si>
    <t>Advances for purchase of intangible assets</t>
  </si>
  <si>
    <t>Asset down payment acquisition</t>
  </si>
  <si>
    <t>Asset down payment Clearing</t>
  </si>
  <si>
    <t>Estimated claim for tax refund - non current</t>
  </si>
  <si>
    <t>Deposit - Rental</t>
  </si>
  <si>
    <t>Deposit - Line Telephone</t>
  </si>
  <si>
    <t>Deposit Internet</t>
  </si>
  <si>
    <t>Security Deposit</t>
  </si>
  <si>
    <t>Deposit - Service Charge</t>
  </si>
  <si>
    <t>Deposit - Utilities</t>
  </si>
  <si>
    <t>Deposit - Rental Space for Event</t>
  </si>
  <si>
    <t>Deposit - Cloud System</t>
  </si>
  <si>
    <t>Other Deposit</t>
  </si>
  <si>
    <t>Deposit - Rental - Fair Value Adjustment</t>
  </si>
  <si>
    <t>Deposit - Line Telephone - Fair Value Adjustment</t>
  </si>
  <si>
    <t>Deposit Internet - Fair Value Adjustment</t>
  </si>
  <si>
    <t>Security Deposit - Fair Value Adjustment</t>
  </si>
  <si>
    <t>Deposit - Service Charge - Fair Value Adjustment</t>
  </si>
  <si>
    <t>Deposit - Utilities - Fair Value Adjustment</t>
  </si>
  <si>
    <t>Deposit - Rental Space for Event - Fair Value Adju</t>
  </si>
  <si>
    <t>Deposit - Cloud System - Fair Value Adjustment</t>
  </si>
  <si>
    <t>Deposit Other - Fair Value Adjustment</t>
  </si>
  <si>
    <t>Deferred Cost</t>
  </si>
  <si>
    <t>Amortization of Deferred Cost</t>
  </si>
  <si>
    <t>Other non-current assets</t>
  </si>
  <si>
    <t>Time Loan - PT Bank Central Asia Tbk</t>
  </si>
  <si>
    <t>Current Liabilities</t>
  </si>
  <si>
    <t>Bank Overdraft - PT Bank Central Asia Tbk</t>
  </si>
  <si>
    <t>Long-term bank loans-current maturities</t>
  </si>
  <si>
    <t>Consumer financing payable - Short Term</t>
  </si>
  <si>
    <t>Finance lease payable-current maturities</t>
  </si>
  <si>
    <t>Lease payable (Right-of-Use Assets)</t>
  </si>
  <si>
    <t>Trade Payables - Third parties</t>
  </si>
  <si>
    <t>Unbilled Payable - trade third parties</t>
  </si>
  <si>
    <t>Deposit from customer trade</t>
  </si>
  <si>
    <t>Customer with credit balance-Trade third parties</t>
  </si>
  <si>
    <t>Vendor for payables adj-Trade third parties</t>
  </si>
  <si>
    <t>Trade Payables - Third parties (forex)</t>
  </si>
  <si>
    <t>GR/IR clearing-Tr Pay-Third P-Merc-non comm</t>
  </si>
  <si>
    <t>GR/IR clearing-Tr Pay-Third P-Others</t>
  </si>
  <si>
    <t>GR/IR clearing-Trade-Third Party-Freight Overseas</t>
  </si>
  <si>
    <t>GR/IR clearing-Trade-Third Party-Freight Local</t>
  </si>
  <si>
    <t>GR/IR clearing-Trade-Third Party-Insurance Oversea</t>
  </si>
  <si>
    <t>GR/IR clearing-Trade-Third Party-Insurance Local</t>
  </si>
  <si>
    <t>GR/IR clearing-Trade-Third Party-Import Duty</t>
  </si>
  <si>
    <t>GR/IR clearing-Trade-Third Party-Custom Stamp Duty</t>
  </si>
  <si>
    <t>GR/IR clearing-Trade-Third Party-Beginning Balance</t>
  </si>
  <si>
    <t>Trade Payables - Related parties</t>
  </si>
  <si>
    <t>Unbilled Payable - trade related parties</t>
  </si>
  <si>
    <t>Trade Payable - Site</t>
  </si>
  <si>
    <t>Trade Payables - Related parties (forex)</t>
  </si>
  <si>
    <t>GR/IR clearing - Trade Payables - Related Parties</t>
  </si>
  <si>
    <t>Non trade payable - Third parties</t>
  </si>
  <si>
    <t>Deposit from customer non trade</t>
  </si>
  <si>
    <t>Guarantee Deposit-Non Trade Payables-Third parties</t>
  </si>
  <si>
    <t>Deposit from principle support program</t>
  </si>
  <si>
    <t>GR/IR clearing-Non Trade Payables-Third Parties</t>
  </si>
  <si>
    <t>Deferred Income - Current</t>
  </si>
  <si>
    <t>GR/IR clearing-Non Trad Pybls-3P-Beginning Balance</t>
  </si>
  <si>
    <t>Non Trade - third parties - Others</t>
  </si>
  <si>
    <t>Customer with credit bal.-Non Trade third party</t>
  </si>
  <si>
    <t>BOC unsettled Payable - Non Trade third parties</t>
  </si>
  <si>
    <t>Vendor for payables adj-Non Trade-Third parties</t>
  </si>
  <si>
    <t>Non trade payable - Third parties (forex)</t>
  </si>
  <si>
    <t>Non trade payable - Related parties</t>
  </si>
  <si>
    <t>Intercompany Interest Payable - Related Parties</t>
  </si>
  <si>
    <t>GR/IR clearing-Non Trade Payables-Related Parties</t>
  </si>
  <si>
    <t>GR/IR clearing-Non Trad Pybls-RP-Beginning Balance</t>
  </si>
  <si>
    <t>Non trade payable - Related parties (forex)</t>
  </si>
  <si>
    <t>Intercompany Loan Payables</t>
  </si>
  <si>
    <t>Income tax payable art. 4 (2)</t>
  </si>
  <si>
    <t>Income tax payable art. 21</t>
  </si>
  <si>
    <t>Income tax payable art. 22</t>
  </si>
  <si>
    <t>Income tax payable art. 23</t>
  </si>
  <si>
    <t>Income tax payable art. 25</t>
  </si>
  <si>
    <t>Income tax payable art. 26</t>
  </si>
  <si>
    <t>Income tax payable art. 29</t>
  </si>
  <si>
    <t>VAT Out</t>
  </si>
  <si>
    <t>GST-OUT</t>
  </si>
  <si>
    <t>VAT Payable</t>
  </si>
  <si>
    <t>Other Taxes Payable</t>
  </si>
  <si>
    <t>Accrued Expenses 3P-Interest</t>
  </si>
  <si>
    <t>Accrued Expenses 3P-Salaries</t>
  </si>
  <si>
    <t>Accrued Expenses 3P-Rental</t>
  </si>
  <si>
    <t>Accrued Expenses 3P-Insurance</t>
  </si>
  <si>
    <t>Accrued Expenses 3P-Audit fee</t>
  </si>
  <si>
    <t>Accrued Expenses 3P-Prof. fee</t>
  </si>
  <si>
    <t>Accrued Expenses 3P-Utilities</t>
  </si>
  <si>
    <t>Accrued Expenses 3P-Ad n prmo</t>
  </si>
  <si>
    <t>Accrued Expenses 3P-Comm.</t>
  </si>
  <si>
    <t>Accrued Expenses 3P-Freight</t>
  </si>
  <si>
    <t>Accrued Expenses 3P-Jamsostek</t>
  </si>
  <si>
    <t>Acc Oth-Third party</t>
  </si>
  <si>
    <t>Accrued Expenses RP-Interest</t>
  </si>
  <si>
    <t>Accrued Expenses RP-Salaries</t>
  </si>
  <si>
    <t>Accrued Expenses RP-Rental</t>
  </si>
  <si>
    <t>Accrued Expenses RP-Prof. fee</t>
  </si>
  <si>
    <t>Short-term employee benefits liabilities</t>
  </si>
  <si>
    <t>Advances from customers - Third parties</t>
  </si>
  <si>
    <t>Advances from customers - Related parties</t>
  </si>
  <si>
    <t>Derivative Liabilities</t>
  </si>
  <si>
    <t>Long-term bank loan</t>
  </si>
  <si>
    <t>Non-current Liabilities</t>
  </si>
  <si>
    <t>Long-term bank loan - Adjustment (Forex)</t>
  </si>
  <si>
    <t>Consumer financing payable - Long Term</t>
  </si>
  <si>
    <t>Finance lease payable</t>
  </si>
  <si>
    <t>Long-term loan (non financial institution)</t>
  </si>
  <si>
    <t>Notes Payable - non current</t>
  </si>
  <si>
    <t>Leased Liability</t>
  </si>
  <si>
    <t>Leased Liability - Building and Improvements</t>
  </si>
  <si>
    <t>Leased Liability - Vehicle</t>
  </si>
  <si>
    <t>Def tax liabilities-Inventories</t>
  </si>
  <si>
    <t>Def tax liabilities-Account receivables</t>
  </si>
  <si>
    <t>Def tax liabilities-Liab. for employee benefit</t>
  </si>
  <si>
    <t>Def tax liabilities-Fixed assets</t>
  </si>
  <si>
    <t>Def tax liabilities-Foreign curr translation of FS</t>
  </si>
  <si>
    <t>Def tax liabilities-Dividend</t>
  </si>
  <si>
    <t>Def tax liabilities-Customer Loyalty Programmes</t>
  </si>
  <si>
    <t>Def tax liabilities-Right of Use Assets</t>
  </si>
  <si>
    <t>Liabilities for employee benefits</t>
  </si>
  <si>
    <t>Share capital</t>
  </si>
  <si>
    <t>Equity</t>
  </si>
  <si>
    <t>Additional paid-in-capital</t>
  </si>
  <si>
    <t>Treasury Shares</t>
  </si>
  <si>
    <t>Deposits for future stock subscription</t>
  </si>
  <si>
    <t>Dividend</t>
  </si>
  <si>
    <t>transaction of entities under common control</t>
  </si>
  <si>
    <t>changes in non-controlling interest</t>
  </si>
  <si>
    <t>OCI Beginning - Inventories</t>
  </si>
  <si>
    <t>OCI Beginning - Accounts Receivables</t>
  </si>
  <si>
    <t>OCI Beginning - Liabilities for Employee Benefits</t>
  </si>
  <si>
    <t>OCI Beginning - Fixed Assets</t>
  </si>
  <si>
    <t>OCI Beginning - FX Curr Trans FS</t>
  </si>
  <si>
    <t>OCI Beginning - Dividend</t>
  </si>
  <si>
    <t>OCI Current - Inventories</t>
  </si>
  <si>
    <t>OCI Current - Accounts Receivables</t>
  </si>
  <si>
    <t>OCI Current - Liabilities for Employee Benefits</t>
  </si>
  <si>
    <t>OCI Current - Fixed Assets</t>
  </si>
  <si>
    <t>OCI Current - FX Curr Trans FS</t>
  </si>
  <si>
    <t>OCI Current - Dividend</t>
  </si>
  <si>
    <t>Retained earnings - beginning</t>
  </si>
  <si>
    <t>Implementation of New Standard</t>
  </si>
  <si>
    <t>Current year net income</t>
  </si>
  <si>
    <t>Current Year Earnings</t>
  </si>
  <si>
    <t>Non Controlling Interest</t>
  </si>
  <si>
    <t>Gross Sales-Rental Asset</t>
  </si>
  <si>
    <t>Income</t>
  </si>
  <si>
    <t>Gross Sales-Others</t>
  </si>
  <si>
    <t>Sales discount-Others</t>
  </si>
  <si>
    <t>Sales return-Others</t>
  </si>
  <si>
    <t>Sales Adjustment-manual posting</t>
  </si>
  <si>
    <t>Sales Adjustment-automatic posting</t>
  </si>
  <si>
    <t>COGS-Rental Asset</t>
  </si>
  <si>
    <t>COGS-Others</t>
  </si>
  <si>
    <t>Rebate</t>
  </si>
  <si>
    <t>Cost of Revenue</t>
  </si>
  <si>
    <t>Support Management</t>
  </si>
  <si>
    <t>Cash discount</t>
  </si>
  <si>
    <t>Trade price protection</t>
  </si>
  <si>
    <t>Inklaring - Import</t>
  </si>
  <si>
    <t>Inspection - Import</t>
  </si>
  <si>
    <t>Handling Fee - Import</t>
  </si>
  <si>
    <t>Inklaring - Export</t>
  </si>
  <si>
    <t>Inspection - Export</t>
  </si>
  <si>
    <t>Handling Fee - Export</t>
  </si>
  <si>
    <t>Insurance - Local</t>
  </si>
  <si>
    <t>Insurance - Overseas</t>
  </si>
  <si>
    <t>Insurance - Export</t>
  </si>
  <si>
    <t>Insurance - Import</t>
  </si>
  <si>
    <t>Rebate KPI &amp; Incentive</t>
  </si>
  <si>
    <t>Rebate Incentive-Others</t>
  </si>
  <si>
    <t>Assembly - Component</t>
  </si>
  <si>
    <t>Assembly - Preloaded</t>
  </si>
  <si>
    <t>COGS Adjustment-manual posting</t>
  </si>
  <si>
    <t>COGS Var-Others</t>
  </si>
  <si>
    <t>Advertising &amp; Publication</t>
  </si>
  <si>
    <t>Expenses</t>
  </si>
  <si>
    <t>Promotion</t>
  </si>
  <si>
    <t>Tactical Promotion</t>
  </si>
  <si>
    <t>Merchandise</t>
  </si>
  <si>
    <t>Marketing</t>
  </si>
  <si>
    <t>Brosur leaflet sign</t>
  </si>
  <si>
    <t>Exhibition</t>
  </si>
  <si>
    <t>Sponsorship</t>
  </si>
  <si>
    <t>Printed goods</t>
  </si>
  <si>
    <t>Sample products</t>
  </si>
  <si>
    <t>Data Analytical Cost</t>
  </si>
  <si>
    <t>Market Place Cost</t>
  </si>
  <si>
    <t>Prize load</t>
  </si>
  <si>
    <t>Labor - Selling</t>
  </si>
  <si>
    <t>Bonus &amp; THR allowances - Selling</t>
  </si>
  <si>
    <t>Overtime/ Insentive/ Lumpsum - Selling</t>
  </si>
  <si>
    <t>HR Enhancement - Selling</t>
  </si>
  <si>
    <t>Other Salaries - Selling</t>
  </si>
  <si>
    <t>Pension PKWT - Selling</t>
  </si>
  <si>
    <t>Salaries-Selling</t>
  </si>
  <si>
    <t>Overtime/ Insentive &amp; Lumpsum - Permanent employee</t>
  </si>
  <si>
    <t>Allowance THR/bonus/cuti - Permanent employee</t>
  </si>
  <si>
    <t>Working Accident Protection - Selling</t>
  </si>
  <si>
    <t>Death Protection - Selling</t>
  </si>
  <si>
    <t>Old Age Protection - Selling</t>
  </si>
  <si>
    <t>Pension - Selling</t>
  </si>
  <si>
    <t>Medical Allowance - BPJS - Selling</t>
  </si>
  <si>
    <t>Sales Outlet Rent-SE</t>
  </si>
  <si>
    <t>Service Charge - Selling</t>
  </si>
  <si>
    <t>Vehicle Rental - Selling</t>
  </si>
  <si>
    <t>EDC machine Rent-SE</t>
  </si>
  <si>
    <t>Other Rental - Selling</t>
  </si>
  <si>
    <t>MDR Bank</t>
  </si>
  <si>
    <t>MDR E-Wallet</t>
  </si>
  <si>
    <t>MDR Bank û Dealer</t>
  </si>
  <si>
    <t>Sales commission</t>
  </si>
  <si>
    <t>Domestic Distribution</t>
  </si>
  <si>
    <t>Freight inklaring cost</t>
  </si>
  <si>
    <t>Export Distribution</t>
  </si>
  <si>
    <t>Operational Export</t>
  </si>
  <si>
    <t>Packaging</t>
  </si>
  <si>
    <t>SMS Cost OTP</t>
  </si>
  <si>
    <t>Email Cost</t>
  </si>
  <si>
    <t>Telco Cost Contact Center</t>
  </si>
  <si>
    <t>Storage - Cloud cost</t>
  </si>
  <si>
    <t>Depre Exp-Selling-Right of Use Asset-Building</t>
  </si>
  <si>
    <t>Depreciation</t>
  </si>
  <si>
    <t>Depre Exp-Selling-Right of Use Asset - Vehicle</t>
  </si>
  <si>
    <t>Depre Exp-Selling-Right of Use Asset-Others</t>
  </si>
  <si>
    <t>Royalty</t>
  </si>
  <si>
    <t>Maintenance fee</t>
  </si>
  <si>
    <t>Pajak reklame dan jaminan bongkar</t>
  </si>
  <si>
    <t>Pakaian seragam service</t>
  </si>
  <si>
    <t>Pendidikan dan latihan</t>
  </si>
  <si>
    <t>Asuransi pengiriman ekspor-LN</t>
  </si>
  <si>
    <t>Others Selling Exp</t>
  </si>
  <si>
    <t>Store Supplies &amp; Consumables</t>
  </si>
  <si>
    <t>Installation-Selling</t>
  </si>
  <si>
    <t>Salaries - GA</t>
  </si>
  <si>
    <t>Lembur/insentif &amp; lumpsum GA</t>
  </si>
  <si>
    <t>Allowance THR/bonus/cuti - GA</t>
  </si>
  <si>
    <t>Meals-GA</t>
  </si>
  <si>
    <t>Astek-GA</t>
  </si>
  <si>
    <t>Healthcare Insurance</t>
  </si>
  <si>
    <t>HR training-GA</t>
  </si>
  <si>
    <t>Working Accident Protection - GA</t>
  </si>
  <si>
    <t>Death Protection - GA</t>
  </si>
  <si>
    <t>Old Age Protection - GA</t>
  </si>
  <si>
    <t>Accrued Pension Fund - GA</t>
  </si>
  <si>
    <t>Healthcare cost</t>
  </si>
  <si>
    <t>Medical Allowance - BPJS - GA</t>
  </si>
  <si>
    <t>Transport Allowance-in town</t>
  </si>
  <si>
    <t>Labor Cost - GA</t>
  </si>
  <si>
    <t>Bonus &amp; THR allowances - GA</t>
  </si>
  <si>
    <t>Overtime/ Insentive/ Lumpsum - GA</t>
  </si>
  <si>
    <t>Pension - GA</t>
  </si>
  <si>
    <t>Severance pay - GA</t>
  </si>
  <si>
    <t>Consultant Fee</t>
  </si>
  <si>
    <t>Audit Fee</t>
  </si>
  <si>
    <t>Notary &amp; lawyer Fee</t>
  </si>
  <si>
    <t>Training Cost</t>
  </si>
  <si>
    <t>Income tax art. 4(2)</t>
  </si>
  <si>
    <t>Income tax art. 21</t>
  </si>
  <si>
    <t>Income tax art. 23</t>
  </si>
  <si>
    <t>Income tax art. 25</t>
  </si>
  <si>
    <t>Income tax art. 29</t>
  </si>
  <si>
    <t>VAT</t>
  </si>
  <si>
    <t>Income tax art. 26</t>
  </si>
  <si>
    <t>Income tax for sale of land and building right</t>
  </si>
  <si>
    <t>Others</t>
  </si>
  <si>
    <t>Depreciation - Fixed Asset - Building</t>
  </si>
  <si>
    <t>Depreciation - Fixed Asset - Vehicle</t>
  </si>
  <si>
    <t>Depre Exp-Fixed Asset-Office and outlet equipment</t>
  </si>
  <si>
    <t>Depreciation - Fixed Asset - Furniture &amp; Fixtures</t>
  </si>
  <si>
    <t>Depreciation - Fixed Asset - Machine</t>
  </si>
  <si>
    <t>Depreciation - Fixed Asset - Fixed Asset - others</t>
  </si>
  <si>
    <t>Depreciation - Asset for Lease - Building</t>
  </si>
  <si>
    <t>Depreciation - Asset for Lease - Vehicle</t>
  </si>
  <si>
    <t>Depre Exp-Asset for Lease-Office and outlet equip</t>
  </si>
  <si>
    <t>Depre Exp-Asset for Lease-Furniture &amp; Fixture</t>
  </si>
  <si>
    <t>Depreciation - Asset for Lease - Machine</t>
  </si>
  <si>
    <t>Depre Exp-Asset for Lease-Others</t>
  </si>
  <si>
    <t>Depreciation - Right of Use Asset - Building</t>
  </si>
  <si>
    <t>Depreciation - Right of Use Asset - Vehicle</t>
  </si>
  <si>
    <t>Depre Exp-Right of Use Asset-Office n outlet equip</t>
  </si>
  <si>
    <t>Depre Exp-Right of Use Asset-Furniture &amp; Fixture</t>
  </si>
  <si>
    <t>Depreciation - Right of Use Asset - Machine</t>
  </si>
  <si>
    <t>Depre Exp-Right of Use Asset-Others</t>
  </si>
  <si>
    <t>Amort. Exp-Software</t>
  </si>
  <si>
    <t>Non-competing agreement</t>
  </si>
  <si>
    <t>Amortisasi-other</t>
  </si>
  <si>
    <t>Amortization Expense-Trademark</t>
  </si>
  <si>
    <t>Donation and Social</t>
  </si>
  <si>
    <t>Entertainment</t>
  </si>
  <si>
    <t>Prov for obslscnc n decline in value of inventory</t>
  </si>
  <si>
    <t>Telephone, Fax &amp; Internet</t>
  </si>
  <si>
    <t>Electricity</t>
  </si>
  <si>
    <t>Water</t>
  </si>
  <si>
    <t>Transportation Cost</t>
  </si>
  <si>
    <t>Business Trip - Domestic</t>
  </si>
  <si>
    <t>Business Trip - Overseas</t>
  </si>
  <si>
    <t>Fuel, Tol &amp; Parking</t>
  </si>
  <si>
    <t>Document delivery</t>
  </si>
  <si>
    <t>Office Stationary</t>
  </si>
  <si>
    <t>Computer supplier</t>
  </si>
  <si>
    <t>Office supplies</t>
  </si>
  <si>
    <t>Warehouse Supplies</t>
  </si>
  <si>
    <t>Post and Stamp Duty</t>
  </si>
  <si>
    <t>Printing</t>
  </si>
  <si>
    <t>Photocopy</t>
  </si>
  <si>
    <t>Archieve Cost</t>
  </si>
  <si>
    <t>Other office supplies</t>
  </si>
  <si>
    <t>Building Maintenance</t>
  </si>
  <si>
    <t>Vechicle Maintenance</t>
  </si>
  <si>
    <t>Office and Outlet Equipment Maintenance</t>
  </si>
  <si>
    <t>Furniture Maintenance</t>
  </si>
  <si>
    <t>Inventories Repair &amp; Service</t>
  </si>
  <si>
    <t>Licensing/ Sertification</t>
  </si>
  <si>
    <t>Vehicle Taxation</t>
  </si>
  <si>
    <t>PBB</t>
  </si>
  <si>
    <t>RUPS &amp; Meeting Expenses</t>
  </si>
  <si>
    <t>Office Rental</t>
  </si>
  <si>
    <t>Vehicle Rental</t>
  </si>
  <si>
    <t>Service Charge</t>
  </si>
  <si>
    <t>Equipment Rental</t>
  </si>
  <si>
    <t>Rental application system</t>
  </si>
  <si>
    <t>GA Exp-Building Insurance</t>
  </si>
  <si>
    <t>Vehicle Insurance</t>
  </si>
  <si>
    <t>Inventories Insurance</t>
  </si>
  <si>
    <t>Cash Insurance</t>
  </si>
  <si>
    <t>Office Equipment Insurance</t>
  </si>
  <si>
    <t>Other Insurance</t>
  </si>
  <si>
    <t>Provision for impairment of receivables</t>
  </si>
  <si>
    <t>Receivable write-off</t>
  </si>
  <si>
    <t>Inventory write-off</t>
  </si>
  <si>
    <t>Royalty Fee</t>
  </si>
  <si>
    <t>Technical Support Fee</t>
  </si>
  <si>
    <t>Service Supplies</t>
  </si>
  <si>
    <t>Household Expenses</t>
  </si>
  <si>
    <t>Newspaper &amp; Magazine</t>
  </si>
  <si>
    <t>Membership</t>
  </si>
  <si>
    <t>Cleaning Service</t>
  </si>
  <si>
    <t>Penalty</t>
  </si>
  <si>
    <t>Tuition and Retribution</t>
  </si>
  <si>
    <t>Membership Tuition</t>
  </si>
  <si>
    <t>Training</t>
  </si>
  <si>
    <t>Uniform</t>
  </si>
  <si>
    <t>Other Advertising</t>
  </si>
  <si>
    <t>Bank Administrative</t>
  </si>
  <si>
    <t>Other cost</t>
  </si>
  <si>
    <t>Share in net inc (loss) fr assciated companies-net</t>
  </si>
  <si>
    <t>Net income (loss) from subsidiaries - net</t>
  </si>
  <si>
    <t>Gain on sale of Fixed Assets</t>
  </si>
  <si>
    <t>Other Income</t>
  </si>
  <si>
    <t>Clearing Account Revenue from Asset sale</t>
  </si>
  <si>
    <t>Gain on sale of Investment</t>
  </si>
  <si>
    <t>Rent Income</t>
  </si>
  <si>
    <t>credit card</t>
  </si>
  <si>
    <t>Promotion fund</t>
  </si>
  <si>
    <t>Marketing Support Fund - Principal</t>
  </si>
  <si>
    <t>Commission</t>
  </si>
  <si>
    <t>Difference of Foreign Exchange income</t>
  </si>
  <si>
    <t>Penalty Income of late payment of receivables</t>
  </si>
  <si>
    <t>Reimbursement Income</t>
  </si>
  <si>
    <t>Insurance replacement income</t>
  </si>
  <si>
    <t>Dividend income</t>
  </si>
  <si>
    <t>other operating income</t>
  </si>
  <si>
    <t>Loss on sale of Fixed Assets</t>
  </si>
  <si>
    <t>Loss on sale of Investment</t>
  </si>
  <si>
    <t>Loss on impairment of Investment</t>
  </si>
  <si>
    <t>Difference of Foreign Exchange expense</t>
  </si>
  <si>
    <t>Penalty Expense of late payment of payables</t>
  </si>
  <si>
    <t>Loss on impairment of Fixed Assets</t>
  </si>
  <si>
    <t>Loss on impair-Inventory dueto extraordinary event</t>
  </si>
  <si>
    <t>Loss on impairment of goodwill</t>
  </si>
  <si>
    <t>Insurance replacement loss</t>
  </si>
  <si>
    <t>Other operating expense</t>
  </si>
  <si>
    <t>Interest on Current account</t>
  </si>
  <si>
    <t>Interest on Placement of Deposits</t>
  </si>
  <si>
    <t>Interest on loans</t>
  </si>
  <si>
    <t>Interest of penalty from receivables</t>
  </si>
  <si>
    <t>Interest income - PSAK55</t>
  </si>
  <si>
    <t>Interest Cost</t>
  </si>
  <si>
    <t>Provision Cost</t>
  </si>
  <si>
    <t>Interest - Lease</t>
  </si>
  <si>
    <t>Interest - affiliated</t>
  </si>
  <si>
    <t>Current</t>
  </si>
  <si>
    <t>Deferred</t>
  </si>
  <si>
    <t>OCI - Inventories</t>
  </si>
  <si>
    <t>OCI - Account receivables</t>
  </si>
  <si>
    <t>OCI - Liabilities for employee benefits</t>
  </si>
  <si>
    <t>OCI - Fixed assets</t>
  </si>
  <si>
    <t>OCI-Foreign curr translate of financial statements</t>
  </si>
  <si>
    <t>OCI - Dividend</t>
  </si>
  <si>
    <t>Share in other comprehensive income-subsidiaries</t>
  </si>
  <si>
    <t>Share in other comprehensive income-associate&amp;JV</t>
  </si>
  <si>
    <t>Equity holders of the parent company</t>
  </si>
  <si>
    <t>Non-controlling interest</t>
  </si>
  <si>
    <t>Investment in Bonds-non current</t>
  </si>
  <si>
    <t>Investment in Bonds-current</t>
  </si>
  <si>
    <t>Interest on bonds</t>
  </si>
  <si>
    <t>Deferred day 1 loss</t>
  </si>
  <si>
    <t>07 — Taxes (account.tax + era_id_tax_*)</t>
  </si>
  <si>
    <t>Pajak Indonesia. Field era_id_tax_category &amp; era_pmk_dpp_ratio dari modul era_id_tax_pmk + bupot.</t>
  </si>
  <si>
    <t>description</t>
  </si>
  <si>
    <t>type_tax_use</t>
  </si>
  <si>
    <t>amount_type</t>
  </si>
  <si>
    <t>amount</t>
  </si>
  <si>
    <t>era_id_tax_category</t>
  </si>
  <si>
    <t>era_pmk_dpp_ratio</t>
  </si>
  <si>
    <t>tax_group</t>
  </si>
  <si>
    <t>price_include_override</t>
  </si>
  <si>
    <t>include_base_amount</t>
  </si>
  <si>
    <t>invoice_repartition_account</t>
  </si>
  <si>
    <t>refund_repartition_account</t>
  </si>
  <si>
    <t>active</t>
  </si>
  <si>
    <t>Nama Pajak</t>
  </si>
  <si>
    <t>Description (label invoice)</t>
  </si>
  <si>
    <t>Tipe</t>
  </si>
  <si>
    <t>Mode</t>
  </si>
  <si>
    <t>Nilai (%/IDR)</t>
  </si>
  <si>
    <t>Kategori ID Tax</t>
  </si>
  <si>
    <t>DPP Nilai Lain Ratio</t>
  </si>
  <si>
    <t>Tax Group</t>
  </si>
  <si>
    <t>Price Include?</t>
  </si>
  <si>
    <t>Include Base?</t>
  </si>
  <si>
    <t>Akun Repartisi (Faktur)</t>
  </si>
  <si>
    <t>Akun Repartisi (Retur)</t>
  </si>
  <si>
    <t>Aktif</t>
  </si>
  <si>
    <t>Contoh: TAX-PPN-12-DPP.</t>
  </si>
  <si>
    <t>sale / purchase / none.</t>
  </si>
  <si>
    <t>percent / fixed / division / group.</t>
  </si>
  <si>
    <t>Negatif = pemotongan (PPh). Contoh: -2 (PPh 23 2%).</t>
  </si>
  <si>
    <t>ppn / ppn_bm / pph_21 / pph_22 / pph_23 / pph_25 / pph_26 / pph_4_2 / pph_final / wht.</t>
  </si>
  <si>
    <t>Misal 0.9166666667 utk efektif 11% pada statutory 12%.</t>
  </si>
  <si>
    <t>Nama group, mis "PPN", "PPN Impor", "PPh 23".</t>
  </si>
  <si>
    <t>tax_excluded (default) / tax_included.</t>
  </si>
  <si>
    <t>TRUE/FALSE.</t>
  </si>
  <si>
    <t>External ID akun GL.</t>
  </si>
  <si>
    <t>Default TRUE.</t>
  </si>
  <si>
    <t>TAX-PPN-12-DPP</t>
  </si>
  <si>
    <t>PPN 12% DPP Nilai Lain 11/12 (Keluaran)</t>
  </si>
  <si>
    <t>PPN 12% DPP 11/12 (efektif 11%)</t>
  </si>
  <si>
    <t>sale</t>
  </si>
  <si>
    <t>percent</t>
  </si>
  <si>
    <t>ppn</t>
  </si>
  <si>
    <t>PPN</t>
  </si>
  <si>
    <t>tax_excluded</t>
  </si>
  <si>
    <t>TAX-PPN-12-DPP-IN</t>
  </si>
  <si>
    <t>PPN 12% DPP Nilai Lain 11/12 (Masukan)</t>
  </si>
  <si>
    <t>purchase</t>
  </si>
  <si>
    <t>TAX-PPN-12-FULL</t>
  </si>
  <si>
    <t>PPN 12% Penuh (Keluaran)</t>
  </si>
  <si>
    <t>PPN 12%</t>
  </si>
  <si>
    <t>TAX-PPH23-2</t>
  </si>
  <si>
    <t>PPh 23 Sewa Peralatan 2% (Potong)</t>
  </si>
  <si>
    <t>PPh 23 2%</t>
  </si>
  <si>
    <t>pph_23</t>
  </si>
  <si>
    <t>PPh 23</t>
  </si>
  <si>
    <t>TAX-PPH22-IMPOR-25</t>
  </si>
  <si>
    <t>PPh 22 Impor 2.5% (API)</t>
  </si>
  <si>
    <t>PPh 22 Impor 2.5%</t>
  </si>
  <si>
    <t>pph_22</t>
  </si>
  <si>
    <t>PPh 22 Impor</t>
  </si>
  <si>
    <t>TAX-PPN-IMPORT-12</t>
  </si>
  <si>
    <t>PPN Impor 12%</t>
  </si>
  <si>
    <t>PPN Impor</t>
  </si>
  <si>
    <t>08 — Journals (account.journal)</t>
  </si>
  <si>
    <t>Jurnal akuntansi. Field era_show_dashboard_kpi dari era_accounting (toggle KPI widget).</t>
  </si>
  <si>
    <t>type</t>
  </si>
  <si>
    <t>default_account_external_id</t>
  </si>
  <si>
    <t>suspense_account_external_id</t>
  </si>
  <si>
    <t>refund_sequence</t>
  </si>
  <si>
    <t>era_show_dashboard_kpi</t>
  </si>
  <si>
    <t>sequence_prefix</t>
  </si>
  <si>
    <t>sequence_padding</t>
  </si>
  <si>
    <t>Nama</t>
  </si>
  <si>
    <t>Kode</t>
  </si>
  <si>
    <t>Akun Default</t>
  </si>
  <si>
    <t>Suspense Account</t>
  </si>
  <si>
    <t>Currency</t>
  </si>
  <si>
    <t>Sequence Retur Terpisah?</t>
  </si>
  <si>
    <t>Tampilkan KPI Widget?</t>
  </si>
  <si>
    <t>Prefix Penomoran</t>
  </si>
  <si>
    <t>Padding</t>
  </si>
  <si>
    <t>Deskripsi</t>
  </si>
  <si>
    <t>Contoh: JRN-SALE.</t>
  </si>
  <si>
    <t>Maks 5 char, mis: SAL, PUR, BNK, INV, MISC.</t>
  </si>
  <si>
    <t>sale / purchase / cash / bank / general.</t>
  </si>
  <si>
    <t>External ID akun GL — wajib utk bank/cash.</t>
  </si>
  <si>
    <t>Untuk bank journal.</t>
  </si>
  <si>
    <t>Kosong = currency company.</t>
  </si>
  <si>
    <t>TRUE = aktif (default).</t>
  </si>
  <si>
    <t>Mis: INV/%(year)s/.</t>
  </si>
  <si>
    <t>Default 5.</t>
  </si>
  <si>
    <t>Penjualan</t>
  </si>
  <si>
    <t>SAL</t>
  </si>
  <si>
    <t>INV/%(year)s/</t>
  </si>
  <si>
    <t>Customer invoices</t>
  </si>
  <si>
    <t>JRN-CN</t>
  </si>
  <si>
    <t>Nota Kredit</t>
  </si>
  <si>
    <t>CN</t>
  </si>
  <si>
    <t>CN/%(year)s/</t>
  </si>
  <si>
    <t>Pembelian</t>
  </si>
  <si>
    <t>BILL</t>
  </si>
  <si>
    <t>BILL/%(year)s/</t>
  </si>
  <si>
    <t>Vendor bills</t>
  </si>
  <si>
    <t>JRN-CASH</t>
  </si>
  <si>
    <t>CSH</t>
  </si>
  <si>
    <t>cash</t>
  </si>
  <si>
    <t>JRN-BCA</t>
  </si>
  <si>
    <t>Bank BCA</t>
  </si>
  <si>
    <t>BCA</t>
  </si>
  <si>
    <t>bank</t>
  </si>
  <si>
    <t>JRN-MISC</t>
  </si>
  <si>
    <t>Jurnal Umum</t>
  </si>
  <si>
    <t>MISC</t>
  </si>
  <si>
    <t>general</t>
  </si>
  <si>
    <t>09 — Asset Groups (era.asset.group)</t>
  </si>
  <si>
    <t>Group aset tetap dengan default akun &amp; umur ekonomis. Dipakai saat membuat era.asset.</t>
  </si>
  <si>
    <t>default_useful_life_months</t>
  </si>
  <si>
    <t>default_asset_account_external_id</t>
  </si>
  <si>
    <t>default_depreciation_account_external_id</t>
  </si>
  <si>
    <t>default_expense_account_external_id</t>
  </si>
  <si>
    <t>Nama Group</t>
  </si>
  <si>
    <t>Umur Ekonomis (bln)</t>
  </si>
  <si>
    <t>Akun Aset</t>
  </si>
  <si>
    <t>Akun Akumulasi Penyusutan</t>
  </si>
  <si>
    <t>Akun Beban Penyusutan</t>
  </si>
  <si>
    <t>Contoh: AG-DRONE.</t>
  </si>
  <si>
    <t>Default 60 (5 tahun).</t>
  </si>
  <si>
    <t>External ID akun balance-sheet.</t>
  </si>
  <si>
    <t>External ID.</t>
  </si>
  <si>
    <t>AG-DRONE</t>
  </si>
  <si>
    <t>Drone Equipment</t>
  </si>
  <si>
    <t>DR</t>
  </si>
  <si>
    <t>AG-VEHICLE</t>
  </si>
  <si>
    <t>Kendaraan</t>
  </si>
  <si>
    <t>VHC</t>
  </si>
  <si>
    <t>AG-OFFICE</t>
  </si>
  <si>
    <t>Peralatan Kantor</t>
  </si>
  <si>
    <t>OFC</t>
  </si>
  <si>
    <t>10 — Asset Locations (era.asset.location)</t>
  </si>
  <si>
    <t>Lokasi fisik aset. Tree-structure via parent_id.</t>
  </si>
  <si>
    <t>parent_external_id</t>
  </si>
  <si>
    <t>address</t>
  </si>
  <si>
    <t>Nama Lokasi</t>
  </si>
  <si>
    <t>Parent</t>
  </si>
  <si>
    <t>Alamat</t>
  </si>
  <si>
    <t>LOC-HQ</t>
  </si>
  <si>
    <t>Head Office Gudang Palem</t>
  </si>
  <si>
    <t>HQ</t>
  </si>
  <si>
    <t>External ID lokasi induk.</t>
  </si>
  <si>
    <t>Komp. 1000 Fantasi Taman Palem Blok.z8 no.8 RT13/RW8, cengkareng, Jakarta Barat</t>
  </si>
  <si>
    <t>Gudang Utama</t>
  </si>
  <si>
    <t>01 — Product Categories (product.category)</t>
  </si>
  <si>
    <t>Master kategori produk. Buat hierarki bila perlu (isi parent_external_id).</t>
  </si>
  <si>
    <t>property_cost_method</t>
  </si>
  <si>
    <t>property_valuation</t>
  </si>
  <si>
    <t>property_account_income_categ_id</t>
  </si>
  <si>
    <t>property_account_expense_categ_id</t>
  </si>
  <si>
    <t>property_stock_account_input_categ_id</t>
  </si>
  <si>
    <t>property_stock_account_output_categ_id</t>
  </si>
  <si>
    <t>property_stock_valuation_account_id</t>
  </si>
  <si>
    <t>Nama Kategori</t>
  </si>
  <si>
    <t>Parent (External ID)</t>
  </si>
  <si>
    <t>Metode Costing</t>
  </si>
  <si>
    <t>Valuation</t>
  </si>
  <si>
    <t>Akun Pendapatan</t>
  </si>
  <si>
    <t>Akun Beban</t>
  </si>
  <si>
    <t>Stock Input Account</t>
  </si>
  <si>
    <t>Stock Output Account</t>
  </si>
  <si>
    <t>Stock Valuation Account</t>
  </si>
  <si>
    <t>Kode unik utk referensi antar sheet. Contoh: CAT-DRONE-AGRI.</t>
  </si>
  <si>
    <t>Wajib. Contoh: "Drone Pertanian", "Aksesoris", "Spare Part".</t>
  </si>
  <si>
    <t>Kosong jika root. Isi dengan external_id kategori induk.</t>
  </si>
  <si>
    <t>standard / fifo / average. Default standard.</t>
  </si>
  <si>
    <t>manual_periodic / real_time. Default manual_periodic.</t>
  </si>
  <si>
    <t>External ID dari sheet COA — akun pendapatan default.</t>
  </si>
  <si>
    <t>External ID dari sheet COA — akun beban default.</t>
  </si>
  <si>
    <t>External ID akun (untuk real_time valuation).</t>
  </si>
  <si>
    <t>Catatan internal.</t>
  </si>
  <si>
    <t>CAT-DRONE</t>
  </si>
  <si>
    <t>Drone</t>
  </si>
  <si>
    <t>standard</t>
  </si>
  <si>
    <t>manual_periodic</t>
  </si>
  <si>
    <t>Kategori induk drone</t>
  </si>
  <si>
    <t>CAT-DRONE-LIGHT SHOW</t>
  </si>
  <si>
    <t>Drone - Pertanian</t>
  </si>
  <si>
    <t>fifo</t>
  </si>
  <si>
    <t>real_time</t>
  </si>
  <si>
    <t>Drone semprot pertanian</t>
  </si>
  <si>
    <t>CAT-ACCESSORY</t>
  </si>
  <si>
    <t>Aksesoris Drone</t>
  </si>
  <si>
    <t>Baterai, propeller, dll.</t>
  </si>
  <si>
    <t>CAT-SVC-RENT</t>
  </si>
  <si>
    <t>Jasa Sewa</t>
  </si>
  <si>
    <t>Pendapatan sewa</t>
  </si>
  <si>
    <t>04 — Customers (res.partner, customer_rank ≥ 1)</t>
  </si>
  <si>
    <t>Pelanggan. Tambahan field era_credit_limit_active dari era_accounting; l10n_id_* dari modul lokalisasi Indonesia.</t>
  </si>
  <si>
    <t>is_company</t>
  </si>
  <si>
    <t>l10n_id_kode_transaksi</t>
  </si>
  <si>
    <t>l10n_id_nik</t>
  </si>
  <si>
    <t>state_name</t>
  </si>
  <si>
    <t>city</t>
  </si>
  <si>
    <t>zip</t>
  </si>
  <si>
    <t>street</t>
  </si>
  <si>
    <t>street2</t>
  </si>
  <si>
    <t>phone</t>
  </si>
  <si>
    <t>mobile</t>
  </si>
  <si>
    <t>email</t>
  </si>
  <si>
    <t>website</t>
  </si>
  <si>
    <t>customer_rank</t>
  </si>
  <si>
    <t>property_payment_term</t>
  </si>
  <si>
    <t>property_account_receivable</t>
  </si>
  <si>
    <t>credit_limit</t>
  </si>
  <si>
    <t>era_credit_limit_active</t>
  </si>
  <si>
    <t>property_product_pricelist</t>
  </si>
  <si>
    <t>industry</t>
  </si>
  <si>
    <t>ref</t>
  </si>
  <si>
    <t>comment</t>
  </si>
  <si>
    <t>Nama / Perusahaan</t>
  </si>
  <si>
    <t>Badan Usaha?</t>
  </si>
  <si>
    <t>NPWP</t>
  </si>
  <si>
    <t>Kode Transaksi FP</t>
  </si>
  <si>
    <t>NIK</t>
  </si>
  <si>
    <t>Provinsi</t>
  </si>
  <si>
    <t>Kota</t>
  </si>
  <si>
    <t>Kode Pos</t>
  </si>
  <si>
    <t>Alamat (lanjutan)</t>
  </si>
  <si>
    <t>Telepon</t>
  </si>
  <si>
    <t>HP</t>
  </si>
  <si>
    <t>Email</t>
  </si>
  <si>
    <t>Website</t>
  </si>
  <si>
    <t>Customer Rank</t>
  </si>
  <si>
    <t>Termin Pembayaran</t>
  </si>
  <si>
    <t>Akun Piutang Override</t>
  </si>
  <si>
    <t>Credit Limit (IDR)</t>
  </si>
  <si>
    <t>Aktifkan Credit Limit?</t>
  </si>
  <si>
    <t>Pricelist</t>
  </si>
  <si>
    <t>Industri</t>
  </si>
  <si>
    <t>Internal Reference</t>
  </si>
  <si>
    <t>Kode unik partner. Contoh: CUST-001.</t>
  </si>
  <si>
    <t>Nama pelanggan.</t>
  </si>
  <si>
    <t>TRUE = perusahaan, FALSE = perorangan.</t>
  </si>
  <si>
    <t>External ID company bila ini contact person.</t>
  </si>
  <si>
    <t>Format 15-16 digit Indonesia. Wajib utk PKP / penerbitan FP.</t>
  </si>
  <si>
    <t>Default 01 (penyerahan kena PPN). Lihat Reference Lists.</t>
  </si>
  <si>
    <t>Wajib utk WP OP tanpa NPWP (e-Bupot).</t>
  </si>
  <si>
    <t>ID/SG/MY/...</t>
  </si>
  <si>
    <t>&gt;= 1 untuk customer. Default 1.</t>
  </si>
  <si>
    <t>Mis: "Net 30 Days", "Cash", "Net 60 Days".</t>
  </si>
  <si>
    <t>External ID akun. Kosong = pakai default kategori.</t>
  </si>
  <si>
    <t>0 = tidak dibatasi.</t>
  </si>
  <si>
    <t>TRUE → warning saat post invoice yg melewati limit.</t>
  </si>
  <si>
    <t>Nama pricelist (opsional).</t>
  </si>
  <si>
    <t>CUST-001</t>
  </si>
  <si>
    <t>PT Agro Nusantara</t>
  </si>
  <si>
    <t>01.234.567.8-901.000</t>
  </si>
  <si>
    <t>01</t>
  </si>
  <si>
    <t>Jawa Barat</t>
  </si>
  <si>
    <t>Bandung</t>
  </si>
  <si>
    <t>40123</t>
  </si>
  <si>
    <t>Jl. Asia Afrika No. 1</t>
  </si>
  <si>
    <t>+62-22-1234567</t>
  </si>
  <si>
    <t>+62-812-3456-7890</t>
  </si>
  <si>
    <t>finance@agronusantara.co.id</t>
  </si>
  <si>
    <t>agronusantara.co.id</t>
  </si>
  <si>
    <t>Net 30 Days</t>
  </si>
  <si>
    <t>Agriculture</t>
  </si>
  <si>
    <t>Top tier client</t>
  </si>
  <si>
    <t>CUST-002-PIC</t>
  </si>
  <si>
    <t>Budi Santoso</t>
  </si>
  <si>
    <t>3201234567890123</t>
  </si>
  <si>
    <t>+62-811-2222-3333</t>
  </si>
  <si>
    <t>budi@agronusantara.co.id</t>
  </si>
  <si>
    <t>PIC procurement</t>
  </si>
  <si>
    <t>CUST-003</t>
  </si>
  <si>
    <t>CV Surya Tani</t>
  </si>
  <si>
    <t>02.345.678.9-012.000</t>
  </si>
  <si>
    <t>Jawa Tengah</t>
  </si>
  <si>
    <t>Solo</t>
  </si>
  <si>
    <t>57123</t>
  </si>
  <si>
    <t>Jl. Slamet Riyadi 88</t>
  </si>
  <si>
    <t>admin@suryatani.id</t>
  </si>
  <si>
    <t>Net 14 Days</t>
  </si>
  <si>
    <t>ARKA</t>
  </si>
  <si>
    <t>PT Mahardika Insani Adiwarma</t>
  </si>
  <si>
    <t>0819-1015-5558</t>
  </si>
  <si>
    <t>PT Industri Pameran Nusantara</t>
  </si>
  <si>
    <t>PT Era Inovasi Otomotif</t>
  </si>
  <si>
    <t>0812-2816-2176</t>
  </si>
  <si>
    <t>PT Omega Film</t>
  </si>
  <si>
    <t>0818-135-935</t>
  </si>
  <si>
    <t>PT Jakarta Tourisindo</t>
  </si>
  <si>
    <t>0896-1170-6539</t>
  </si>
  <si>
    <t>PT Data Citra Mandiri</t>
  </si>
  <si>
    <t>PT Taman Impian Jaya Ancol</t>
  </si>
  <si>
    <t>0857-1162-1849</t>
  </si>
  <si>
    <t>PT Interforum Convex</t>
  </si>
  <si>
    <t>0818-275-805</t>
  </si>
  <si>
    <t>PT Dinamika Neomedia Semesta</t>
  </si>
  <si>
    <t>0811-1995-3934</t>
  </si>
  <si>
    <t>Panitia Harmoni Imlek Nusantara 2026</t>
  </si>
  <si>
    <t>57878826702600 / 3171024211840004</t>
  </si>
  <si>
    <t>0812-1384-0353</t>
  </si>
  <si>
    <t>PT Wira Pamungkas Pariwara</t>
  </si>
  <si>
    <t>0878-8697-8653</t>
  </si>
  <si>
    <t>DNR Kreasi</t>
  </si>
  <si>
    <t>AIM</t>
  </si>
  <si>
    <t>05 — Principals / Vendors (res.partner, supplier_rank ≥ 1)</t>
  </si>
  <si>
    <t>Principal/distributor &amp; service center. Field principal_partner_id dan service_center_partner_id pada stock.lot mereferensi sheet ini.</t>
  </si>
  <si>
    <t>supplier_rank</t>
  </si>
  <si>
    <t>is_principal</t>
  </si>
  <si>
    <t>is_service_center</t>
  </si>
  <si>
    <t>warranty_default_months</t>
  </si>
  <si>
    <t>property_account_payable</t>
  </si>
  <si>
    <t>property_purchase_currency</t>
  </si>
  <si>
    <t>default_pph_tax</t>
  </si>
  <si>
    <t>default_ppn_tax</t>
  </si>
  <si>
    <t>bank_name</t>
  </si>
  <si>
    <t>bank_account</t>
  </si>
  <si>
    <t>bank_acc_holder</t>
  </si>
  <si>
    <t>Nama Principal / Vendor</t>
  </si>
  <si>
    <t>NPWP / Tax ID</t>
  </si>
  <si>
    <t>Provinsi/State</t>
  </si>
  <si>
    <t>Supplier Rank</t>
  </si>
  <si>
    <t>Adalah Principal?</t>
  </si>
  <si>
    <t>Adalah Service Center?</t>
  </si>
  <si>
    <t>Warranty Default (bulan)</t>
  </si>
  <si>
    <t>Akun Hutang Override</t>
  </si>
  <si>
    <t>Currency Pembelian</t>
  </si>
  <si>
    <t>Pajak PPh Default</t>
  </si>
  <si>
    <t>Pajak PPN Default</t>
  </si>
  <si>
    <t>Bank</t>
  </si>
  <si>
    <t>Nomor Rekening</t>
  </si>
  <si>
    <t>Nama Pemilik Rekening</t>
  </si>
  <si>
    <t>Kode unik. Contoh: PART-DJI-ID.</t>
  </si>
  <si>
    <t>Wajib utk pemotongan PPh &amp; faktur masukan.</t>
  </si>
  <si>
    <t>ID/CN/US/SG/...</t>
  </si>
  <si>
    <t>Default 1.</t>
  </si>
  <si>
    <t>TRUE bila berperan sebagai principal/manufacturer drone.</t>
  </si>
  <si>
    <t>TRUE bila pusat servis 3rd-party.</t>
  </si>
  <si>
    <t>Misal 12. Dipakai saat purchase order.</t>
  </si>
  <si>
    <t>External ID akun.</t>
  </si>
  <si>
    <t>IDR / USD / CNY.</t>
  </si>
  <si>
    <t>External ID pajak (mis. TAX-PPH23-2). Auto saat vendor bill.</t>
  </si>
  <si>
    <t>External ID pajak input.</t>
  </si>
  <si>
    <t>PART-DJI-ID</t>
  </si>
  <si>
    <t>DJI Indonesia</t>
  </si>
  <si>
    <t>01.999.000.0-001.000</t>
  </si>
  <si>
    <t>DKI Jakarta</t>
  </si>
  <si>
    <t>Jakarta</t>
  </si>
  <si>
    <t>12190</t>
  </si>
  <si>
    <t>SCBD Lot 14</t>
  </si>
  <si>
    <t>+62-21-29853000</t>
  </si>
  <si>
    <t>support@dji-id.com</t>
  </si>
  <si>
    <t>dji.com</t>
  </si>
  <si>
    <t>0123456789</t>
  </si>
  <si>
    <t>PT DJI Indonesia</t>
  </si>
  <si>
    <t>Authorised distributor</t>
  </si>
  <si>
    <t>PART-AUTEL-CN</t>
  </si>
  <si>
    <t>Autel Robotics Co. Ltd.</t>
  </si>
  <si>
    <t>Guangdong</t>
  </si>
  <si>
    <t>Shenzhen</t>
  </si>
  <si>
    <t>518000</t>
  </si>
  <si>
    <t>Bantian Subdistrict</t>
  </si>
  <si>
    <t>+86-755-1234-5678</t>
  </si>
  <si>
    <t>sales@autelrobotics.com</t>
  </si>
  <si>
    <t>autelrobotics.com</t>
  </si>
  <si>
    <t>50% DP / 50% B/L</t>
  </si>
  <si>
    <t>USD</t>
  </si>
  <si>
    <t>Direct factory</t>
  </si>
  <si>
    <t>PART-SVC-AERO</t>
  </si>
  <si>
    <t>Aero Service Center Bandung</t>
  </si>
  <si>
    <t>03.111.222.3-404.000</t>
  </si>
  <si>
    <t>40115</t>
  </si>
  <si>
    <t>Jl. Setiabudi 200</t>
  </si>
  <si>
    <t>+62-22-2034567</t>
  </si>
  <si>
    <t>service@aerosvc.id</t>
  </si>
  <si>
    <t>Mandiri</t>
  </si>
  <si>
    <t>1234567890</t>
  </si>
  <si>
    <t>PT Aero Servis Bandung</t>
  </si>
  <si>
    <t>3rd-party repair</t>
  </si>
  <si>
    <t>Damoda drones provider</t>
  </si>
  <si>
    <t>PT Helpio Glovin Teknologi</t>
  </si>
  <si>
    <t>76.865.572.2-036.000</t>
  </si>
  <si>
    <t>finance@ubiklan.com</t>
  </si>
  <si>
    <t>Drone show executor partner</t>
  </si>
  <si>
    <t>PT. Asuransi Umum Bumiputeramuda 1967</t>
  </si>
  <si>
    <t>Drone show insurance</t>
  </si>
  <si>
    <t>02 — Products / Drones (product.template)</t>
  </si>
  <si>
    <t>Master produk: drone, spare part, baterai, jasa sewa, drone kit. Field rent_ok / extra_hourly / extra_daily berasal dari era_rental; is_drone_kit dari era_rental_drone.</t>
  </si>
  <si>
    <t>default_code</t>
  </si>
  <si>
    <t>barcode</t>
  </si>
  <si>
    <t>is_storable</t>
  </si>
  <si>
    <t>tracking</t>
  </si>
  <si>
    <t>categ_external_id</t>
  </si>
  <si>
    <t>uom_name</t>
  </si>
  <si>
    <t>uom_po_name</t>
  </si>
  <si>
    <t>list_price</t>
  </si>
  <si>
    <t>standard_price</t>
  </si>
  <si>
    <t>taxes_id_external_ids</t>
  </si>
  <si>
    <t>supplier_taxes_id_external_ids</t>
  </si>
  <si>
    <t>sale_ok</t>
  </si>
  <si>
    <t>purchase_ok</t>
  </si>
  <si>
    <t>rent_ok</t>
  </si>
  <si>
    <t>extra_hourly</t>
  </si>
  <si>
    <t>extra_daily</t>
  </si>
  <si>
    <t>is_drone_kit</t>
  </si>
  <si>
    <t>weight</t>
  </si>
  <si>
    <t>volume</t>
  </si>
  <si>
    <t>description_sale</t>
  </si>
  <si>
    <t>description_purchase</t>
  </si>
  <si>
    <t>principal_external_id</t>
  </si>
  <si>
    <t>warranty_months</t>
  </si>
  <si>
    <t>Internal Reference (SKU)</t>
  </si>
  <si>
    <t>Barcode</t>
  </si>
  <si>
    <t>Nama Produk</t>
  </si>
  <si>
    <t>Storable?</t>
  </si>
  <si>
    <t>Tracking</t>
  </si>
  <si>
    <t>Kategori (External ID)</t>
  </si>
  <si>
    <t>Satuan (UoM)</t>
  </si>
  <si>
    <t>Satuan Pembelian</t>
  </si>
  <si>
    <t>Harga Jual</t>
  </si>
  <si>
    <t>Harga Pokok (Cost)</t>
  </si>
  <si>
    <t>Pajak Penjualan</t>
  </si>
  <si>
    <t>Pajak Pembelian</t>
  </si>
  <si>
    <t>Bisa Dijual?</t>
  </si>
  <si>
    <t>Bisa Dibeli?</t>
  </si>
  <si>
    <t>Bisa Disewakan?</t>
  </si>
  <si>
    <t>Late Fee per Jam</t>
  </si>
  <si>
    <t>Late Fee per Hari</t>
  </si>
  <si>
    <t>Drone Kit?</t>
  </si>
  <si>
    <t>Berat (kg)</t>
  </si>
  <si>
    <t>Volume (m3)</t>
  </si>
  <si>
    <t>Deskripsi Jual</t>
  </si>
  <si>
    <t>Deskripsi Beli</t>
  </si>
  <si>
    <t>Principal Default</t>
  </si>
  <si>
    <t>Warranty (bln)</t>
  </si>
  <si>
    <t>Kode unik. Contoh: PRD-DJI-AGRAS-T40.</t>
  </si>
  <si>
    <t>SKU/Internal Reference. Contoh: DJI-T40-001.</t>
  </si>
  <si>
    <t>EAN/UPC opsional.</t>
  </si>
  <si>
    <t>Wajib. Nama lengkap produk.</t>
  </si>
  <si>
    <t>consu / service / combo. Untuk drone fisik gunakan 'consu' dengan is_storable=TRUE (Odoo 18).</t>
  </si>
  <si>
    <t>TRUE bila ingin di-track stoknya. Wajib utk drone &amp; spare part.</t>
  </si>
  <si>
    <t>serial / lot / none. Drone unit = serial (wajib utk drone card).</t>
  </si>
  <si>
    <t>External ID dari sheet Categories.</t>
  </si>
  <si>
    <t>Default: Units.</t>
  </si>
  <si>
    <t>Harga satuan IDR. Contoh: 280000000.</t>
  </si>
  <si>
    <t>External ID dari sheet Taxes, pisahkan dgn "|" bila lebih dari satu. Contoh: TAX-PPN-12-DPP|TAX-PPH23-2.</t>
  </si>
  <si>
    <t>TRUE → muncul di rental order (era_rental).</t>
  </si>
  <si>
    <t>Tarif keterlambatan per jam. IDR.</t>
  </si>
  <si>
    <t>Tarif keterlambatan per hari. IDR.</t>
  </si>
  <si>
    <t>TRUE → komponennya didefinisikan di sheet Drone_Kit_Components.</t>
  </si>
  <si>
    <t>External ID Principal (sheet Principals).</t>
  </si>
  <si>
    <t>Default warranty principal saat purchase.</t>
  </si>
  <si>
    <t>PRD-DJI-T40</t>
  </si>
  <si>
    <t>DJI-T40-001</t>
  </si>
  <si>
    <t>DJI Agras T40</t>
  </si>
  <si>
    <t>consu</t>
  </si>
  <si>
    <t>serial</t>
  </si>
  <si>
    <t>CAT-DRONE-AGRI</t>
  </si>
  <si>
    <t>Units</t>
  </si>
  <si>
    <t>TAX-PPN-IMPORT-12|TAX-PPH22-IMPOR-25</t>
  </si>
  <si>
    <t>Drone semprot 40L</t>
  </si>
  <si>
    <t>Imported via principal</t>
  </si>
  <si>
    <t>PRD-BATTERY-T40</t>
  </si>
  <si>
    <t>BAT-T40-001</t>
  </si>
  <si>
    <t>Battery T40 30000mAh</t>
  </si>
  <si>
    <t>lot</t>
  </si>
  <si>
    <t>PRD-KIT-AGRAS</t>
  </si>
  <si>
    <t>KIT-AGRAS-T40</t>
  </si>
  <si>
    <t>Kit Sewa Agras T40</t>
  </si>
  <si>
    <t>service</t>
  </si>
  <si>
    <t>none</t>
  </si>
  <si>
    <t>Paket sewa drone agras + 4 baterai + charger</t>
  </si>
  <si>
    <t>Jasa Drone Show 100 Unit</t>
  </si>
  <si>
    <t>Service</t>
  </si>
  <si>
    <t>Package</t>
  </si>
  <si>
    <t>- Up to 15 formations
- Show duration: Up to 15 mins include takeoff and landing
- Include drone show operations
- Include flight permit 
- Free documentation
- Exclude take off and landing venue permits</t>
  </si>
  <si>
    <t>Jasa Drone Show 200 Unit</t>
  </si>
  <si>
    <t>Jasa Drone Show 300 Unit</t>
  </si>
  <si>
    <t>Jasa Drone Show 400 Unit</t>
  </si>
  <si>
    <t>Jasa Drone Show 500 Unit</t>
  </si>
  <si>
    <t>Jasa Drone Show 600 Unit</t>
  </si>
  <si>
    <t>Jasa Drone Show 700 Unit</t>
  </si>
  <si>
    <t>Jasa Drone Show 800 Unit</t>
  </si>
  <si>
    <t>Jasa Drone Show 900 Unit</t>
  </si>
  <si>
    <t>Jasa Drone Show 1000 Unit</t>
  </si>
  <si>
    <t>Jasa Drone Show 1400 Unit</t>
  </si>
  <si>
    <t>Sewa Drone Show</t>
  </si>
  <si>
    <t>Consu</t>
  </si>
  <si>
    <t>Unit</t>
  </si>
  <si>
    <t>03 — Rental Pricing Tiers (era.rental.pricing)</t>
  </si>
  <si>
    <t>Tier harga sewa per produk. Engine memilih tier terbesar yang muat dalam durasi. Pastikan tier terkecil ada (jadi floor untuk durasi pendek).</t>
  </si>
  <si>
    <t>product_external_id</t>
  </si>
  <si>
    <t>duration</t>
  </si>
  <si>
    <t>unit</t>
  </si>
  <si>
    <t>price</t>
  </si>
  <si>
    <t>company_external_id</t>
  </si>
  <si>
    <t>Produk (External ID)</t>
  </si>
  <si>
    <t>Durasi</t>
  </si>
  <si>
    <t>Harga (IDR)</t>
  </si>
  <si>
    <t>Company</t>
  </si>
  <si>
    <t>External ID produk dari sheet Products. Produk harus rent_ok=TRUE.</t>
  </si>
  <si>
    <t>Bilangan bulat positif. Contoh: 1, 7.</t>
  </si>
  <si>
    <t>hour / day / week / month.</t>
  </si>
  <si>
    <t>Tarif sewa untuk durasi tsb.</t>
  </si>
  <si>
    <t>Default IDR.</t>
  </si>
  <si>
    <t>External ID company. Kosong = company aktif.</t>
  </si>
  <si>
    <t>day</t>
  </si>
  <si>
    <t>month</t>
  </si>
  <si>
    <t>week</t>
  </si>
  <si>
    <t>11 — Drone Kit Components (era.drone.kit.component)</t>
  </si>
  <si>
    <t>Komponen yang akan auto-expand saat menambahkan kit ke rental order. Sum price_share sebaiknya = 100.</t>
  </si>
  <si>
    <t>kit_product_external_id</t>
  </si>
  <si>
    <t>sequence</t>
  </si>
  <si>
    <t>component_product_external_id</t>
  </si>
  <si>
    <t>qty</t>
  </si>
  <si>
    <t>price_share</t>
  </si>
  <si>
    <t>Produk Kit (External ID)</t>
  </si>
  <si>
    <t>Urutan</t>
  </si>
  <si>
    <t>Komponen</t>
  </si>
  <si>
    <t>Qty</t>
  </si>
  <si>
    <t>Price Share %</t>
  </si>
  <si>
    <t>Produk dgn is_drone_kit=TRUE di sheet Products.</t>
  </si>
  <si>
    <t>Default 10.</t>
  </si>
  <si>
    <t>Produk komponen (rent_ok=TRUE).</t>
  </si>
  <si>
    <t>Persentase alokasi harga (sum 100). 0 = harga komponen 0.</t>
  </si>
  <si>
    <t>PRD-KIT-AIM</t>
  </si>
  <si>
    <t>PRD-DAMODA-DMD400W-V3</t>
  </si>
  <si>
    <t>PER UNIT DRONE</t>
  </si>
  <si>
    <t>PRD-BATTERY-DMD400W-V3</t>
  </si>
  <si>
    <t>PER UNIT BATTERY</t>
  </si>
  <si>
    <t>PRD-CHARGER-DMD400W-V3</t>
  </si>
  <si>
    <t>Charger station</t>
  </si>
  <si>
    <t>PRD-REMOTE CONTROL-DMD400W</t>
  </si>
  <si>
    <t>PRD-BATTERY RTK-DMD400W-V3</t>
  </si>
  <si>
    <t>PRD-ANEMOMETER-DMD400W-V3</t>
  </si>
  <si>
    <t>PRD-SPECTRUM ANALIZER-DMD400W-V3</t>
  </si>
  <si>
    <t>PRD-ADAPTOR ACCES POINT-DMD400W-V3</t>
  </si>
  <si>
    <t>PRD-TRIPOD &amp; AP-DMD400W-V3</t>
  </si>
  <si>
    <t>PRD-CONNECTOR-DMD400W-V3</t>
  </si>
  <si>
    <t>PRD-BATTERY CHECKER-DMD400W-V3</t>
  </si>
  <si>
    <t>PRD-DRONE PROPELLER-DMD400W-V3</t>
  </si>
  <si>
    <t>PRD-BASE STATION -DMD400W-V3</t>
  </si>
  <si>
    <t>PRD-RADIO TRANSMIT-DMD400W-V3</t>
  </si>
  <si>
    <t>12 — Damage Charge Tariffs (era.damage.charge.tariff)</t>
  </si>
  <si>
    <t>Tarif kerusakan per (komponen, severity). Hybrid model: minor auto-charge; major/total_loss → approval.</t>
  </si>
  <si>
    <t>severity</t>
  </si>
  <si>
    <t>charge_amount</t>
  </si>
  <si>
    <t>Severity</t>
  </si>
  <si>
    <t>Nominal Charge (IDR)</t>
  </si>
  <si>
    <t>Aktif?</t>
  </si>
  <si>
    <t>Produk komponen (mis. propeller, gimbal).</t>
  </si>
  <si>
    <t>minor (auto-charge) / major / total_loss (perlu approval).</t>
  </si>
  <si>
    <t>Kosong = berlaku global.</t>
  </si>
  <si>
    <t>DMG-PROP-MIN</t>
  </si>
  <si>
    <t>Propeller minor</t>
  </si>
  <si>
    <t>PRD-PROPELLER-DMD400W-V3</t>
  </si>
  <si>
    <t>minor</t>
  </si>
  <si>
    <t>Pecah ujung</t>
  </si>
  <si>
    <t>DMG-GIMBAL-MAJ</t>
  </si>
  <si>
    <t>Gimbal major</t>
  </si>
  <si>
    <t>PRD-PROPELLER GUARD-DMD400W-V3</t>
  </si>
  <si>
    <t>major</t>
  </si>
  <si>
    <t>Perlu approval</t>
  </si>
  <si>
    <t>DMG-DRONE-TOT</t>
  </si>
  <si>
    <t>Drone total loss</t>
  </si>
  <si>
    <t>PRD-DRONE-DMD400W-V3</t>
  </si>
  <si>
    <t>total_loss</t>
  </si>
  <si>
    <t>Penggantian penuh</t>
  </si>
  <si>
    <t>13 — Drone Cards (era.drone.card)</t>
  </si>
  <si>
    <t>Master per-unit drone (SN-level). Field warranty &amp; firmware ditulis ke stock.lot oleh era_rental_drone. state machine: available ↔ rented ↔ in_repair ↔ retired.</t>
  </si>
  <si>
    <t>serial_lot_name</t>
  </si>
  <si>
    <t>owner_company_external_id</t>
  </si>
  <si>
    <t>current_location</t>
  </si>
  <si>
    <t>condition</t>
  </si>
  <si>
    <t>state</t>
  </si>
  <si>
    <t>manufacture_date</t>
  </si>
  <si>
    <t>principal_vendor_external_id</t>
  </si>
  <si>
    <t>flight_hours</t>
  </si>
  <si>
    <t>last_service_date</t>
  </si>
  <si>
    <t>next_service_date</t>
  </si>
  <si>
    <t>asset_external_id</t>
  </si>
  <si>
    <t>warranty_start</t>
  </si>
  <si>
    <t>warranty_end</t>
  </si>
  <si>
    <t>service_center_external_id</t>
  </si>
  <si>
    <t>firmware_version</t>
  </si>
  <si>
    <t>last_calibration_at</t>
  </si>
  <si>
    <t>notes</t>
  </si>
  <si>
    <t>Serial Number</t>
  </si>
  <si>
    <t>Model (Produk)</t>
  </si>
  <si>
    <t>Stock Lot Name</t>
  </si>
  <si>
    <t>Current Location</t>
  </si>
  <si>
    <t>Kondisi</t>
  </si>
  <si>
    <t>State</t>
  </si>
  <si>
    <t>Tgl Produksi</t>
  </si>
  <si>
    <t>Principal/Vendor</t>
  </si>
  <si>
    <t>Flight Hours</t>
  </si>
  <si>
    <t>Last Service Date</t>
  </si>
  <si>
    <t>Next Service Date</t>
  </si>
  <si>
    <t>Asset (era.asset)</t>
  </si>
  <si>
    <t>Warranty Start</t>
  </si>
  <si>
    <t>Warranty End</t>
  </si>
  <si>
    <t>3rd-Party Service Center</t>
  </si>
  <si>
    <t>Firmware</t>
  </si>
  <si>
    <t>Last Calibration</t>
  </si>
  <si>
    <t>Contoh: DRN-T40-0001.</t>
  </si>
  <si>
    <t>SN unit drone.</t>
  </si>
  <si>
    <t>External ID dari sheet Products (tracking=serial).</t>
  </si>
  <si>
    <t>Nama stock.lot. Biasanya sama dengan SN.</t>
  </si>
  <si>
    <t>Kosong = company aktif.</t>
  </si>
  <si>
    <t>warehouse / in_transit / at_customer / in_repair_local / in_repair_overseas / disposed / sold.</t>
  </si>
  <si>
    <t>new / good / needs_inspection / malfunction / unrepairable.</t>
  </si>
  <si>
    <t>available / rented / in_repair / retired.</t>
  </si>
  <si>
    <t>YYYY-MM-DD.</t>
  </si>
  <si>
    <t>External ID dari sheet Principals.</t>
  </si>
  <si>
    <t>Default 0.</t>
  </si>
  <si>
    <t>Tautkan ke aset tetap yang sudah dibuat.</t>
  </si>
  <si>
    <t>DRN-T40-0001</t>
  </si>
  <si>
    <t>T40SN0001</t>
  </si>
  <si>
    <t>warehouse</t>
  </si>
  <si>
    <t>new</t>
  </si>
  <si>
    <t>available</t>
  </si>
  <si>
    <t>2026-01-15</t>
  </si>
  <si>
    <t>2026-07-15</t>
  </si>
  <si>
    <t>2026-01-20</t>
  </si>
  <si>
    <t>2027-01-20</t>
  </si>
  <si>
    <t>v01.00.0500</t>
  </si>
  <si>
    <t>2026-04-01</t>
  </si>
  <si>
    <t>Unit demo</t>
  </si>
  <si>
    <t>DRN-T40-0002</t>
  </si>
  <si>
    <t>T40SN0002</t>
  </si>
  <si>
    <t>good</t>
  </si>
  <si>
    <t>2026-02-10</t>
  </si>
  <si>
    <t>2026-04-20</t>
  </si>
  <si>
    <t>2026-10-20</t>
  </si>
  <si>
    <t>2026-02-15</t>
  </si>
  <si>
    <t>2027-02-15</t>
  </si>
  <si>
    <t>Reference Lists — daftar nilai untuk kolom selection</t>
  </si>
  <si>
    <t>account.account.account_type</t>
  </si>
  <si>
    <t>Value</t>
  </si>
  <si>
    <t>Label</t>
  </si>
  <si>
    <t>Bank and Cash</t>
  </si>
  <si>
    <t>Receivable</t>
  </si>
  <si>
    <t>asset_non_current</t>
  </si>
  <si>
    <t>Prepayments</t>
  </si>
  <si>
    <t>Payable</t>
  </si>
  <si>
    <t>liability_credit_card</t>
  </si>
  <si>
    <t>Credit Card</t>
  </si>
  <si>
    <t>liability_non_current</t>
  </si>
  <si>
    <t>off_balance</t>
  </si>
  <si>
    <t>Off-Balance Sheet</t>
  </si>
  <si>
    <t>account.account.era_report_tag</t>
  </si>
  <si>
    <t>Operating Revenue</t>
  </si>
  <si>
    <t>Other Revenue</t>
  </si>
  <si>
    <t>Cost of Goods Sold</t>
  </si>
  <si>
    <t>Operating Expense</t>
  </si>
  <si>
    <t>other_expense</t>
  </si>
  <si>
    <t>Other Expense</t>
  </si>
  <si>
    <t>Financing / Interest Expense</t>
  </si>
  <si>
    <t>Tax Expense</t>
  </si>
  <si>
    <t>Current Asset</t>
  </si>
  <si>
    <t>Fixed Asset</t>
  </si>
  <si>
    <t>Current Liability</t>
  </si>
  <si>
    <t>non_current_liability</t>
  </si>
  <si>
    <t>Non-current Liability</t>
  </si>
  <si>
    <t>account.tax.era_id_tax_category</t>
  </si>
  <si>
    <t>PPN (VAT)</t>
  </si>
  <si>
    <t>ppn_bm</t>
  </si>
  <si>
    <t>PPnBM (Luxury VAT)</t>
  </si>
  <si>
    <t>pph_21</t>
  </si>
  <si>
    <t>PPh 21 (Personal Income)</t>
  </si>
  <si>
    <t>PPh 22 (Import / Purchase)</t>
  </si>
  <si>
    <t>PPh 23 (Services)</t>
  </si>
  <si>
    <t>pph_25</t>
  </si>
  <si>
    <t>PPh 25 (Installment)</t>
  </si>
  <si>
    <t>pph_26</t>
  </si>
  <si>
    <t>PPh 26 (Non-resident)</t>
  </si>
  <si>
    <t>pph_4_2</t>
  </si>
  <si>
    <t>PPh Final 4(2)</t>
  </si>
  <si>
    <t>pph_final</t>
  </si>
  <si>
    <t>PPh Final (Other)</t>
  </si>
  <si>
    <t>wht</t>
  </si>
  <si>
    <t>Other Withholding</t>
  </si>
  <si>
    <t>account.tax.type_tax_use</t>
  </si>
  <si>
    <t>Sales</t>
  </si>
  <si>
    <t>Purchases</t>
  </si>
  <si>
    <t>None</t>
  </si>
  <si>
    <t>account.tax.amount_type</t>
  </si>
  <si>
    <t>Percentage</t>
  </si>
  <si>
    <t>fixed</t>
  </si>
  <si>
    <t>Fixed Amount</t>
  </si>
  <si>
    <t>division</t>
  </si>
  <si>
    <t>Division</t>
  </si>
  <si>
    <t>group</t>
  </si>
  <si>
    <t>Group of Taxes</t>
  </si>
  <si>
    <t>account.journal.type</t>
  </si>
  <si>
    <t>Purchase</t>
  </si>
  <si>
    <t>Cash</t>
  </si>
  <si>
    <t>Miscellaneous</t>
  </si>
  <si>
    <t>product.template.type</t>
  </si>
  <si>
    <t>Goods (consu, set is_storable for stock-tracked)</t>
  </si>
  <si>
    <t>combo</t>
  </si>
  <si>
    <t>Combo</t>
  </si>
  <si>
    <t>product.template.tracking</t>
  </si>
  <si>
    <t>By Unique Serial Number</t>
  </si>
  <si>
    <t>By Lots</t>
  </si>
  <si>
    <t>No Tracking</t>
  </si>
  <si>
    <t>era.rental.pricing.unit</t>
  </si>
  <si>
    <t>hour</t>
  </si>
  <si>
    <t>Hour</t>
  </si>
  <si>
    <t>Day</t>
  </si>
  <si>
    <t>Week</t>
  </si>
  <si>
    <t>Month</t>
  </si>
  <si>
    <t>era.drone.card.condition</t>
  </si>
  <si>
    <t>New</t>
  </si>
  <si>
    <t>Good</t>
  </si>
  <si>
    <t>needs_inspection</t>
  </si>
  <si>
    <t>Needs Inspection</t>
  </si>
  <si>
    <t>malfunction</t>
  </si>
  <si>
    <t>Malfunction</t>
  </si>
  <si>
    <t>unrepairable</t>
  </si>
  <si>
    <t>Unrepairable</t>
  </si>
  <si>
    <t>era.drone.card.current_location</t>
  </si>
  <si>
    <t>Warehouse</t>
  </si>
  <si>
    <t>in_transit</t>
  </si>
  <si>
    <t>In Transit</t>
  </si>
  <si>
    <t>at_customer</t>
  </si>
  <si>
    <t>At Customer Site</t>
  </si>
  <si>
    <t>in_repair_local</t>
  </si>
  <si>
    <t>In Repair (Local)</t>
  </si>
  <si>
    <t>in_repair_overseas</t>
  </si>
  <si>
    <t>In Repair (Overseas)</t>
  </si>
  <si>
    <t>disposed</t>
  </si>
  <si>
    <t>Disposed</t>
  </si>
  <si>
    <t>sold</t>
  </si>
  <si>
    <t>Sold</t>
  </si>
  <si>
    <t>era.drone.card.state</t>
  </si>
  <si>
    <t>Available</t>
  </si>
  <si>
    <t>rented</t>
  </si>
  <si>
    <t>Rented</t>
  </si>
  <si>
    <t>in_repair</t>
  </si>
  <si>
    <t>In Repair</t>
  </si>
  <si>
    <t>retired</t>
  </si>
  <si>
    <t>Retired</t>
  </si>
  <si>
    <t>stock.lot.drone_lot_kind</t>
  </si>
  <si>
    <t>drone</t>
  </si>
  <si>
    <t>battery</t>
  </si>
  <si>
    <t>Battery</t>
  </si>
  <si>
    <t>controller</t>
  </si>
  <si>
    <t>Controller</t>
  </si>
  <si>
    <t>gimbal</t>
  </si>
  <si>
    <t>Gimbal</t>
  </si>
  <si>
    <t>camera</t>
  </si>
  <si>
    <t>Camera</t>
  </si>
  <si>
    <t>propeller</t>
  </si>
  <si>
    <t>Propeller</t>
  </si>
  <si>
    <t>charger</t>
  </si>
  <si>
    <t>Charger</t>
  </si>
  <si>
    <t>accessory</t>
  </si>
  <si>
    <t>Accessory</t>
  </si>
  <si>
    <t>era.damage.charge.tariff.severity</t>
  </si>
  <si>
    <t>Minor (auto-charge)</t>
  </si>
  <si>
    <t>Major (perlu approval)</t>
  </si>
  <si>
    <t>Total Loss (perlu approval manager)</t>
  </si>
  <si>
    <t>l10n_id_kode_transaksi (Faktur Pajak)</t>
  </si>
  <si>
    <t>Penyerahan kena PPN</t>
  </si>
  <si>
    <t>02</t>
  </si>
  <si>
    <t>Penyerahan ke pemungut PPN — Bendaharawan</t>
  </si>
  <si>
    <t>03</t>
  </si>
  <si>
    <t>Penyerahan ke pemungut PPN selain bendaharawan</t>
  </si>
  <si>
    <t>04</t>
  </si>
  <si>
    <t>Penyerahan dgn DPP Nilai Lain</t>
  </si>
  <si>
    <t>06</t>
  </si>
  <si>
    <t>Penyerahan lain</t>
  </si>
  <si>
    <t>07</t>
  </si>
  <si>
    <t>PPN tidak dipungut</t>
  </si>
  <si>
    <t>08</t>
  </si>
  <si>
    <t>PPN dibebaskan</t>
  </si>
  <si>
    <t>09</t>
  </si>
  <si>
    <t>Penyerahan aktiva (Pasal 16D)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</si>
</sst>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6">
    <font>
      <sz val="11.0"/>
      <color theme="1"/>
      <name val="Calibri"/>
      <scheme val="minor"/>
    </font>
    <font>
      <b/>
      <sz val="14.0"/>
      <color rgb="FF1F4E78"/>
      <name val="Calibri"/>
    </font>
    <font>
      <sz val="10.0"/>
      <color theme="1"/>
      <name val="Calibri"/>
    </font>
    <font>
      <i/>
      <sz val="9.0"/>
      <color rgb="FF595959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i/>
      <sz val="10.0"/>
      <color rgb="FF808080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Calibri"/>
    </font>
    <font>
      <color rgb="FF000000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i/>
      <sz val="9.0"/>
      <color theme="1"/>
      <name val="Calibri"/>
    </font>
    <font>
      <i/>
      <sz val="10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0" fillId="0" fontId="10" numFmtId="0" xfId="0" applyFont="1"/>
    <xf borderId="1" fillId="5" fontId="4" numFmtId="0" xfId="0" applyAlignment="1" applyBorder="1" applyFill="1" applyFont="1">
      <alignment readingOrder="0"/>
    </xf>
    <xf borderId="1" fillId="5" fontId="7" numFmtId="0" xfId="0" applyBorder="1" applyFont="1"/>
    <xf borderId="1" fillId="0" fontId="7" numFmtId="3" xfId="0" applyBorder="1" applyFont="1" applyNumberFormat="1"/>
    <xf borderId="0" fillId="0" fontId="8" numFmtId="164" xfId="0" applyFont="1" applyNumberFormat="1"/>
    <xf borderId="1" fillId="2" fontId="11" numFmtId="0" xfId="0" applyAlignment="1" applyBorder="1" applyFont="1">
      <alignment horizontal="center" shrinkToFit="0" vertical="center" wrapText="1"/>
    </xf>
    <xf borderId="1" fillId="2" fontId="11" numFmtId="164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4" fontId="12" numFmtId="16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top" wrapText="1"/>
    </xf>
    <xf borderId="1" fillId="0" fontId="13" numFmtId="164" xfId="0" applyAlignment="1" applyBorder="1" applyFont="1" applyNumberFormat="1">
      <alignment horizontal="left" shrinkToFit="0" vertical="top" wrapText="1"/>
    </xf>
    <xf borderId="1" fillId="0" fontId="14" numFmtId="0" xfId="0" applyAlignment="1" applyBorder="1" applyFont="1">
      <alignment horizontal="left" readingOrder="0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1" fillId="0" fontId="14" numFmtId="164" xfId="0" applyAlignment="1" applyBorder="1" applyFont="1" applyNumberFormat="1">
      <alignment horizontal="left" readingOrder="0" shrinkToFit="0" vertical="top" wrapText="1"/>
    </xf>
    <xf borderId="1" fillId="0" fontId="7" numFmtId="164" xfId="0" applyAlignment="1" applyBorder="1" applyFont="1" applyNumberFormat="1">
      <alignment readingOrder="0"/>
    </xf>
    <xf borderId="1" fillId="0" fontId="7" numFmtId="164" xfId="0" applyBorder="1" applyFont="1" applyNumberFormat="1"/>
    <xf borderId="0" fillId="0" fontId="1" numFmtId="0" xfId="0" applyAlignment="1" applyFont="1">
      <alignment vertical="bottom"/>
    </xf>
    <xf borderId="2" fillId="4" fontId="5" numFmtId="0" xfId="0" applyBorder="1" applyFont="1"/>
    <xf borderId="3" fillId="0" fontId="15" numFmtId="0" xfId="0" applyBorder="1" applyFont="1"/>
    <xf borderId="4" fillId="0" fontId="15" numFmtId="0" xfId="0" applyBorder="1" applyFont="1"/>
    <xf borderId="5" fillId="2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6" width="18.0"/>
    <col customWidth="1" min="7" max="26" width="8.71"/>
  </cols>
  <sheetData>
    <row r="1">
      <c r="A1" s="1" t="s">
        <v>0</v>
      </c>
    </row>
    <row r="2" ht="540.0" customHeight="1">
      <c r="A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4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3.0"/>
    <col customWidth="1" min="2" max="3" width="18.0"/>
    <col customWidth="1" min="4" max="4" width="20.0"/>
    <col customWidth="1" min="5" max="5" width="18.0"/>
    <col customWidth="1" min="6" max="6" width="32.0"/>
    <col customWidth="1" min="7" max="7" width="34.0"/>
    <col customWidth="1" min="8" max="8" width="38.0"/>
    <col customWidth="1" min="9" max="9" width="30.0"/>
    <col customWidth="1" min="10" max="10" width="29.0"/>
    <col customWidth="1" min="11" max="11" width="30.0"/>
    <col customWidth="1" min="12" max="14" width="29.0"/>
    <col customWidth="1" min="15" max="15" width="23.0"/>
    <col customWidth="1" min="16" max="16" width="21.0"/>
    <col customWidth="1" min="17" max="26" width="8.71"/>
  </cols>
  <sheetData>
    <row r="1">
      <c r="A1" s="1" t="s">
        <v>2</v>
      </c>
    </row>
    <row r="2" ht="37.5" customHeight="1">
      <c r="A2" s="3" t="s">
        <v>3</v>
      </c>
    </row>
    <row r="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</row>
    <row r="5">
      <c r="A5" s="5" t="s">
        <v>20</v>
      </c>
      <c r="B5" s="5" t="s">
        <v>21</v>
      </c>
      <c r="C5" s="6" t="s">
        <v>22</v>
      </c>
      <c r="D5" s="5" t="s">
        <v>23</v>
      </c>
      <c r="E5" s="5" t="s">
        <v>24</v>
      </c>
      <c r="F5" s="6" t="s">
        <v>25</v>
      </c>
      <c r="G5" s="6" t="s">
        <v>26</v>
      </c>
      <c r="H5" s="6" t="s">
        <v>27</v>
      </c>
      <c r="I5" s="6" t="s">
        <v>28</v>
      </c>
      <c r="J5" s="6" t="s">
        <v>29</v>
      </c>
      <c r="K5" s="6" t="s">
        <v>30</v>
      </c>
      <c r="L5" s="6" t="s">
        <v>31</v>
      </c>
      <c r="M5" s="6" t="s">
        <v>32</v>
      </c>
      <c r="N5" s="6" t="s">
        <v>33</v>
      </c>
      <c r="O5" s="6" t="s">
        <v>34</v>
      </c>
      <c r="P5" s="6" t="s">
        <v>35</v>
      </c>
    </row>
    <row r="6">
      <c r="A6" s="7" t="s">
        <v>36</v>
      </c>
      <c r="B6" s="7" t="s">
        <v>36</v>
      </c>
      <c r="C6" s="7" t="s">
        <v>37</v>
      </c>
      <c r="D6" s="7" t="s">
        <v>36</v>
      </c>
      <c r="E6" s="7" t="s">
        <v>36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38</v>
      </c>
      <c r="K6" s="7" t="s">
        <v>38</v>
      </c>
      <c r="L6" s="7" t="s">
        <v>38</v>
      </c>
      <c r="M6" s="7" t="s">
        <v>38</v>
      </c>
      <c r="N6" s="7" t="s">
        <v>38</v>
      </c>
      <c r="O6" s="7" t="s">
        <v>38</v>
      </c>
      <c r="P6" s="7" t="s">
        <v>38</v>
      </c>
    </row>
    <row r="7" ht="90.0" customHeight="1">
      <c r="A7" s="8" t="s">
        <v>39</v>
      </c>
      <c r="B7" s="8"/>
      <c r="C7" s="8"/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8" t="s">
        <v>47</v>
      </c>
      <c r="L7" s="8" t="s">
        <v>48</v>
      </c>
      <c r="M7" s="8" t="s">
        <v>49</v>
      </c>
      <c r="N7" s="8" t="s">
        <v>49</v>
      </c>
      <c r="O7" s="8"/>
      <c r="P7" s="8" t="s">
        <v>50</v>
      </c>
    </row>
    <row r="8">
      <c r="A8" s="9" t="s">
        <v>51</v>
      </c>
      <c r="B8" s="9" t="s">
        <v>52</v>
      </c>
      <c r="C8" s="9" t="s">
        <v>53</v>
      </c>
      <c r="D8" s="9" t="s">
        <v>54</v>
      </c>
      <c r="E8" s="9" t="s">
        <v>55</v>
      </c>
      <c r="F8" s="9" t="s">
        <v>56</v>
      </c>
      <c r="G8" s="9">
        <v>5.0E7</v>
      </c>
      <c r="H8" s="9">
        <v>1.0E8</v>
      </c>
      <c r="I8" s="9">
        <v>1.0</v>
      </c>
      <c r="J8" s="9">
        <v>0.5</v>
      </c>
      <c r="K8" s="9">
        <v>1.0</v>
      </c>
      <c r="L8" s="9">
        <v>1.0</v>
      </c>
      <c r="M8" s="9" t="s">
        <v>57</v>
      </c>
      <c r="N8" s="9" t="s">
        <v>58</v>
      </c>
      <c r="O8" s="9"/>
      <c r="P8" s="9" t="s">
        <v>59</v>
      </c>
    </row>
    <row r="9">
      <c r="A9" s="9" t="s">
        <v>60</v>
      </c>
      <c r="B9" s="10" t="s">
        <v>61</v>
      </c>
      <c r="C9" s="10" t="s">
        <v>62</v>
      </c>
      <c r="D9" s="9" t="s">
        <v>54</v>
      </c>
      <c r="E9" s="9" t="s">
        <v>55</v>
      </c>
      <c r="F9" s="9" t="s">
        <v>63</v>
      </c>
      <c r="G9" s="9">
        <v>0.0</v>
      </c>
      <c r="H9" s="9">
        <v>5.0E7</v>
      </c>
      <c r="I9" s="9">
        <v>1.0</v>
      </c>
      <c r="J9" s="9">
        <v>0.0</v>
      </c>
      <c r="K9" s="9">
        <v>1.0</v>
      </c>
      <c r="L9" s="9">
        <v>1.0</v>
      </c>
      <c r="M9" s="9" t="s">
        <v>57</v>
      </c>
      <c r="N9" s="9" t="s">
        <v>58</v>
      </c>
      <c r="O9" s="9"/>
      <c r="P9" s="9" t="s">
        <v>59</v>
      </c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2" width="18.0"/>
    <col customWidth="1" min="3" max="3" width="48.71"/>
    <col customWidth="1" min="4" max="4" width="23.0"/>
    <col customWidth="1" min="5" max="5" width="18.0"/>
    <col customWidth="1" min="6" max="6" width="24.0"/>
    <col customWidth="1" min="7" max="11" width="18.0"/>
    <col customWidth="1" min="12" max="26" width="8.71"/>
  </cols>
  <sheetData>
    <row r="1">
      <c r="A1" s="1" t="s">
        <v>64</v>
      </c>
    </row>
    <row r="2" ht="37.5" customHeight="1">
      <c r="A2" s="3" t="s">
        <v>65</v>
      </c>
    </row>
    <row r="4">
      <c r="A4" s="4" t="s">
        <v>4</v>
      </c>
      <c r="B4" s="4" t="s">
        <v>66</v>
      </c>
      <c r="C4" s="4" t="s">
        <v>5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>
      <c r="A5" s="5" t="s">
        <v>75</v>
      </c>
      <c r="B5" s="5" t="s">
        <v>76</v>
      </c>
      <c r="C5" s="5" t="s">
        <v>77</v>
      </c>
      <c r="D5" s="5" t="s">
        <v>78</v>
      </c>
      <c r="E5" s="6" t="s">
        <v>79</v>
      </c>
      <c r="F5" s="6" t="s">
        <v>80</v>
      </c>
      <c r="G5" s="6" t="s">
        <v>81</v>
      </c>
      <c r="H5" s="6" t="s">
        <v>82</v>
      </c>
      <c r="I5" s="6" t="s">
        <v>83</v>
      </c>
      <c r="J5" s="6" t="s">
        <v>84</v>
      </c>
      <c r="K5" s="6" t="s">
        <v>85</v>
      </c>
    </row>
    <row r="6">
      <c r="A6" s="7" t="s">
        <v>36</v>
      </c>
      <c r="B6" s="7" t="s">
        <v>36</v>
      </c>
      <c r="C6" s="7" t="s">
        <v>36</v>
      </c>
      <c r="D6" s="7" t="s">
        <v>36</v>
      </c>
      <c r="E6" s="7" t="s">
        <v>38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38</v>
      </c>
      <c r="K6" s="7" t="s">
        <v>38</v>
      </c>
    </row>
    <row r="7" ht="90.0" customHeight="1">
      <c r="A7" s="8" t="s">
        <v>86</v>
      </c>
      <c r="B7" s="8" t="s">
        <v>87</v>
      </c>
      <c r="C7" s="8"/>
      <c r="D7" s="8" t="s">
        <v>88</v>
      </c>
      <c r="E7" s="8" t="s">
        <v>89</v>
      </c>
      <c r="F7" s="8" t="s">
        <v>90</v>
      </c>
      <c r="G7" s="8" t="s">
        <v>91</v>
      </c>
      <c r="H7" s="8" t="s">
        <v>92</v>
      </c>
      <c r="I7" s="8" t="s">
        <v>93</v>
      </c>
      <c r="J7" s="8"/>
      <c r="K7" s="8"/>
    </row>
    <row r="8">
      <c r="A8" s="9" t="s">
        <v>94</v>
      </c>
      <c r="B8" s="9" t="s">
        <v>95</v>
      </c>
      <c r="C8" s="9" t="s">
        <v>96</v>
      </c>
      <c r="D8" s="9" t="s">
        <v>97</v>
      </c>
      <c r="E8" s="9" t="s">
        <v>98</v>
      </c>
      <c r="F8" s="9" t="s">
        <v>63</v>
      </c>
      <c r="G8" s="9" t="s">
        <v>56</v>
      </c>
      <c r="H8" s="9" t="s">
        <v>54</v>
      </c>
      <c r="I8" s="9"/>
      <c r="J8" s="9"/>
      <c r="K8" s="9"/>
    </row>
    <row r="9">
      <c r="A9" s="9" t="s">
        <v>99</v>
      </c>
      <c r="B9" s="9" t="s">
        <v>100</v>
      </c>
      <c r="C9" s="9" t="s">
        <v>101</v>
      </c>
      <c r="D9" s="9" t="s">
        <v>97</v>
      </c>
      <c r="E9" s="9" t="s">
        <v>98</v>
      </c>
      <c r="F9" s="9" t="s">
        <v>63</v>
      </c>
      <c r="G9" s="9" t="s">
        <v>56</v>
      </c>
      <c r="H9" s="9" t="s">
        <v>54</v>
      </c>
      <c r="I9" s="9"/>
      <c r="J9" s="9"/>
      <c r="K9" s="9"/>
    </row>
    <row r="10">
      <c r="A10" s="9" t="s">
        <v>102</v>
      </c>
      <c r="B10" s="9" t="s">
        <v>103</v>
      </c>
      <c r="C10" s="9" t="s">
        <v>104</v>
      </c>
      <c r="D10" s="9" t="s">
        <v>105</v>
      </c>
      <c r="E10" s="9" t="s">
        <v>98</v>
      </c>
      <c r="F10" s="9" t="s">
        <v>63</v>
      </c>
      <c r="G10" s="9" t="s">
        <v>56</v>
      </c>
      <c r="H10" s="9" t="s">
        <v>54</v>
      </c>
      <c r="I10" s="9"/>
      <c r="J10" s="9"/>
      <c r="K10" s="9"/>
    </row>
    <row r="11">
      <c r="A11" s="9" t="s">
        <v>106</v>
      </c>
      <c r="B11" s="9" t="s">
        <v>107</v>
      </c>
      <c r="C11" s="9" t="s">
        <v>108</v>
      </c>
      <c r="D11" s="9" t="s">
        <v>109</v>
      </c>
      <c r="E11" s="9" t="s">
        <v>98</v>
      </c>
      <c r="F11" s="9" t="s">
        <v>63</v>
      </c>
      <c r="G11" s="9" t="s">
        <v>63</v>
      </c>
      <c r="H11" s="9" t="s">
        <v>54</v>
      </c>
      <c r="I11" s="9"/>
      <c r="J11" s="9"/>
      <c r="K11" s="9"/>
    </row>
    <row r="12">
      <c r="A12" s="9" t="s">
        <v>110</v>
      </c>
      <c r="B12" s="9" t="s">
        <v>111</v>
      </c>
      <c r="C12" s="9" t="s">
        <v>112</v>
      </c>
      <c r="D12" s="9" t="s">
        <v>109</v>
      </c>
      <c r="E12" s="9" t="s">
        <v>98</v>
      </c>
      <c r="F12" s="9" t="s">
        <v>63</v>
      </c>
      <c r="G12" s="9" t="s">
        <v>63</v>
      </c>
      <c r="H12" s="9" t="s">
        <v>54</v>
      </c>
      <c r="I12" s="9"/>
      <c r="J12" s="9"/>
      <c r="K12" s="9"/>
    </row>
    <row r="13">
      <c r="A13" s="9" t="s">
        <v>113</v>
      </c>
      <c r="B13" s="9" t="s">
        <v>114</v>
      </c>
      <c r="C13" s="9" t="s">
        <v>115</v>
      </c>
      <c r="D13" s="9" t="s">
        <v>109</v>
      </c>
      <c r="E13" s="9" t="s">
        <v>98</v>
      </c>
      <c r="F13" s="9" t="s">
        <v>63</v>
      </c>
      <c r="G13" s="9" t="s">
        <v>63</v>
      </c>
      <c r="H13" s="9" t="s">
        <v>54</v>
      </c>
      <c r="I13" s="9"/>
      <c r="J13" s="9"/>
      <c r="K13" s="9"/>
    </row>
    <row r="14">
      <c r="A14" s="9" t="s">
        <v>116</v>
      </c>
      <c r="B14" s="9" t="s">
        <v>117</v>
      </c>
      <c r="C14" s="9" t="s">
        <v>118</v>
      </c>
      <c r="D14" s="9" t="s">
        <v>109</v>
      </c>
      <c r="E14" s="9" t="s">
        <v>98</v>
      </c>
      <c r="F14" s="9" t="s">
        <v>63</v>
      </c>
      <c r="G14" s="9" t="s">
        <v>63</v>
      </c>
      <c r="H14" s="9" t="s">
        <v>54</v>
      </c>
      <c r="I14" s="9"/>
      <c r="J14" s="9"/>
      <c r="K14" s="9"/>
    </row>
    <row r="15">
      <c r="A15" s="9" t="s">
        <v>119</v>
      </c>
      <c r="B15" s="9" t="s">
        <v>120</v>
      </c>
      <c r="C15" s="9" t="s">
        <v>121</v>
      </c>
      <c r="D15" s="9" t="s">
        <v>109</v>
      </c>
      <c r="E15" s="9" t="s">
        <v>98</v>
      </c>
      <c r="F15" s="9" t="s">
        <v>63</v>
      </c>
      <c r="G15" s="9" t="s">
        <v>63</v>
      </c>
      <c r="H15" s="9" t="s">
        <v>54</v>
      </c>
      <c r="I15" s="9"/>
      <c r="J15" s="9"/>
      <c r="K15" s="9"/>
    </row>
    <row r="16">
      <c r="A16" s="9" t="s">
        <v>122</v>
      </c>
      <c r="B16" s="9" t="s">
        <v>123</v>
      </c>
      <c r="C16" s="9" t="s">
        <v>124</v>
      </c>
      <c r="D16" s="9" t="s">
        <v>125</v>
      </c>
      <c r="E16" s="9" t="s">
        <v>126</v>
      </c>
      <c r="F16" s="9" t="s">
        <v>63</v>
      </c>
      <c r="G16" s="9" t="s">
        <v>63</v>
      </c>
      <c r="H16" s="9" t="s">
        <v>54</v>
      </c>
      <c r="I16" s="9"/>
      <c r="J16" s="9"/>
      <c r="K16" s="9"/>
    </row>
    <row r="17">
      <c r="A17" s="9" t="s">
        <v>127</v>
      </c>
      <c r="B17" s="9" t="s">
        <v>128</v>
      </c>
      <c r="C17" s="9" t="s">
        <v>129</v>
      </c>
      <c r="D17" s="9" t="s">
        <v>125</v>
      </c>
      <c r="E17" s="9" t="s">
        <v>126</v>
      </c>
      <c r="F17" s="9" t="s">
        <v>63</v>
      </c>
      <c r="G17" s="9" t="s">
        <v>63</v>
      </c>
      <c r="H17" s="9" t="s">
        <v>54</v>
      </c>
      <c r="I17" s="9"/>
      <c r="J17" s="9"/>
      <c r="K17" s="9"/>
    </row>
    <row r="18">
      <c r="A18" s="9" t="s">
        <v>130</v>
      </c>
      <c r="B18" s="9" t="s">
        <v>131</v>
      </c>
      <c r="C18" s="9" t="s">
        <v>132</v>
      </c>
      <c r="D18" s="9" t="s">
        <v>133</v>
      </c>
      <c r="E18" s="9" t="s">
        <v>134</v>
      </c>
      <c r="F18" s="9" t="s">
        <v>63</v>
      </c>
      <c r="G18" s="9" t="s">
        <v>56</v>
      </c>
      <c r="H18" s="9" t="s">
        <v>54</v>
      </c>
      <c r="I18" s="9"/>
      <c r="J18" s="9"/>
      <c r="K18" s="9"/>
    </row>
    <row r="19">
      <c r="A19" s="9" t="s">
        <v>135</v>
      </c>
      <c r="B19" s="9" t="s">
        <v>136</v>
      </c>
      <c r="C19" s="9" t="s">
        <v>137</v>
      </c>
      <c r="D19" s="9" t="s">
        <v>138</v>
      </c>
      <c r="E19" s="9" t="s">
        <v>134</v>
      </c>
      <c r="F19" s="9" t="s">
        <v>63</v>
      </c>
      <c r="G19" s="9" t="s">
        <v>63</v>
      </c>
      <c r="H19" s="9" t="s">
        <v>54</v>
      </c>
      <c r="I19" s="9"/>
      <c r="J19" s="9"/>
      <c r="K19" s="9"/>
    </row>
    <row r="20">
      <c r="A20" s="9" t="s">
        <v>139</v>
      </c>
      <c r="B20" s="9" t="s">
        <v>140</v>
      </c>
      <c r="C20" s="9" t="s">
        <v>141</v>
      </c>
      <c r="D20" s="9" t="s">
        <v>138</v>
      </c>
      <c r="E20" s="9" t="s">
        <v>134</v>
      </c>
      <c r="F20" s="9" t="s">
        <v>63</v>
      </c>
      <c r="G20" s="9" t="s">
        <v>63</v>
      </c>
      <c r="H20" s="9" t="s">
        <v>54</v>
      </c>
      <c r="I20" s="9"/>
      <c r="J20" s="9"/>
      <c r="K20" s="9"/>
    </row>
    <row r="21" ht="15.75" customHeight="1">
      <c r="A21" s="9" t="s">
        <v>142</v>
      </c>
      <c r="B21" s="9" t="s">
        <v>143</v>
      </c>
      <c r="C21" s="9" t="s">
        <v>144</v>
      </c>
      <c r="D21" s="9" t="s">
        <v>138</v>
      </c>
      <c r="E21" s="9" t="s">
        <v>134</v>
      </c>
      <c r="F21" s="9" t="s">
        <v>63</v>
      </c>
      <c r="G21" s="9" t="s">
        <v>63</v>
      </c>
      <c r="H21" s="9" t="s">
        <v>54</v>
      </c>
      <c r="I21" s="9"/>
      <c r="J21" s="9"/>
      <c r="K21" s="9"/>
    </row>
    <row r="22" ht="15.75" customHeight="1">
      <c r="A22" s="9" t="s">
        <v>145</v>
      </c>
      <c r="B22" s="9" t="s">
        <v>146</v>
      </c>
      <c r="C22" s="9" t="s">
        <v>147</v>
      </c>
      <c r="D22" s="9" t="s">
        <v>148</v>
      </c>
      <c r="E22" s="9" t="s">
        <v>148</v>
      </c>
      <c r="F22" s="9" t="s">
        <v>63</v>
      </c>
      <c r="G22" s="9" t="s">
        <v>63</v>
      </c>
      <c r="H22" s="9" t="s">
        <v>54</v>
      </c>
      <c r="I22" s="9"/>
      <c r="J22" s="9"/>
      <c r="K22" s="9"/>
    </row>
    <row r="23" ht="15.75" customHeight="1">
      <c r="A23" s="9" t="s">
        <v>149</v>
      </c>
      <c r="B23" s="9" t="s">
        <v>150</v>
      </c>
      <c r="C23" s="9" t="s">
        <v>151</v>
      </c>
      <c r="D23" s="9" t="s">
        <v>152</v>
      </c>
      <c r="E23" s="9" t="s">
        <v>148</v>
      </c>
      <c r="F23" s="9" t="s">
        <v>63</v>
      </c>
      <c r="G23" s="9" t="s">
        <v>63</v>
      </c>
      <c r="H23" s="9" t="s">
        <v>54</v>
      </c>
      <c r="I23" s="9"/>
      <c r="J23" s="9"/>
      <c r="K23" s="9"/>
    </row>
    <row r="24" ht="15.75" customHeight="1">
      <c r="A24" s="9" t="s">
        <v>153</v>
      </c>
      <c r="B24" s="9" t="s">
        <v>154</v>
      </c>
      <c r="C24" s="9" t="s">
        <v>155</v>
      </c>
      <c r="D24" s="9" t="s">
        <v>156</v>
      </c>
      <c r="E24" s="9" t="s">
        <v>157</v>
      </c>
      <c r="F24" s="9" t="s">
        <v>63</v>
      </c>
      <c r="G24" s="9" t="s">
        <v>63</v>
      </c>
      <c r="H24" s="9" t="s">
        <v>54</v>
      </c>
      <c r="I24" s="9"/>
      <c r="J24" s="9"/>
      <c r="K24" s="9"/>
    </row>
    <row r="25" ht="15.75" customHeight="1">
      <c r="A25" s="9" t="s">
        <v>158</v>
      </c>
      <c r="B25" s="9" t="s">
        <v>159</v>
      </c>
      <c r="C25" s="9" t="s">
        <v>160</v>
      </c>
      <c r="D25" s="9" t="s">
        <v>156</v>
      </c>
      <c r="E25" s="9" t="s">
        <v>157</v>
      </c>
      <c r="F25" s="9" t="s">
        <v>63</v>
      </c>
      <c r="G25" s="9" t="s">
        <v>63</v>
      </c>
      <c r="H25" s="9" t="s">
        <v>54</v>
      </c>
      <c r="I25" s="9"/>
      <c r="J25" s="9"/>
      <c r="K25" s="9"/>
    </row>
    <row r="26" ht="15.75" customHeight="1">
      <c r="A26" s="9" t="s">
        <v>161</v>
      </c>
      <c r="B26" s="9" t="s">
        <v>162</v>
      </c>
      <c r="C26" s="9" t="s">
        <v>163</v>
      </c>
      <c r="D26" s="9" t="s">
        <v>156</v>
      </c>
      <c r="E26" s="9" t="s">
        <v>157</v>
      </c>
      <c r="F26" s="9" t="s">
        <v>63</v>
      </c>
      <c r="G26" s="9" t="s">
        <v>63</v>
      </c>
      <c r="H26" s="9" t="s">
        <v>54</v>
      </c>
      <c r="I26" s="9"/>
      <c r="J26" s="9"/>
      <c r="K26" s="9"/>
    </row>
    <row r="27" ht="15.75" customHeight="1">
      <c r="A27" s="9" t="s">
        <v>164</v>
      </c>
      <c r="B27" s="9" t="s">
        <v>165</v>
      </c>
      <c r="C27" s="9" t="s">
        <v>166</v>
      </c>
      <c r="D27" s="9" t="s">
        <v>167</v>
      </c>
      <c r="E27" s="9" t="s">
        <v>168</v>
      </c>
      <c r="F27" s="9" t="s">
        <v>63</v>
      </c>
      <c r="G27" s="9" t="s">
        <v>63</v>
      </c>
      <c r="H27" s="9" t="s">
        <v>54</v>
      </c>
      <c r="I27" s="9"/>
      <c r="J27" s="9"/>
      <c r="K27" s="9"/>
    </row>
    <row r="28" ht="15.75" customHeight="1">
      <c r="A28" s="9" t="s">
        <v>169</v>
      </c>
      <c r="B28" s="9" t="s">
        <v>170</v>
      </c>
      <c r="C28" s="9" t="s">
        <v>171</v>
      </c>
      <c r="D28" s="9" t="s">
        <v>172</v>
      </c>
      <c r="E28" s="9" t="s">
        <v>173</v>
      </c>
      <c r="F28" s="9" t="s">
        <v>63</v>
      </c>
      <c r="G28" s="9" t="s">
        <v>63</v>
      </c>
      <c r="H28" s="9" t="s">
        <v>54</v>
      </c>
      <c r="I28" s="9"/>
      <c r="J28" s="9"/>
      <c r="K28" s="9"/>
    </row>
    <row r="29" ht="15.75" customHeight="1">
      <c r="A29" s="9" t="s">
        <v>174</v>
      </c>
      <c r="B29" s="9" t="s">
        <v>175</v>
      </c>
      <c r="C29" s="9" t="s">
        <v>176</v>
      </c>
      <c r="D29" s="9" t="s">
        <v>172</v>
      </c>
      <c r="E29" s="9" t="s">
        <v>173</v>
      </c>
      <c r="F29" s="9" t="s">
        <v>63</v>
      </c>
      <c r="G29" s="9" t="s">
        <v>63</v>
      </c>
      <c r="H29" s="9" t="s">
        <v>54</v>
      </c>
      <c r="I29" s="9"/>
      <c r="J29" s="9"/>
      <c r="K29" s="9"/>
    </row>
    <row r="30" ht="15.75" customHeight="1">
      <c r="A30" s="9" t="s">
        <v>177</v>
      </c>
      <c r="B30" s="9" t="s">
        <v>178</v>
      </c>
      <c r="C30" s="9" t="s">
        <v>179</v>
      </c>
      <c r="D30" s="9" t="s">
        <v>180</v>
      </c>
      <c r="E30" s="9" t="s">
        <v>181</v>
      </c>
      <c r="F30" s="9" t="s">
        <v>63</v>
      </c>
      <c r="G30" s="9" t="s">
        <v>63</v>
      </c>
      <c r="H30" s="9" t="s">
        <v>54</v>
      </c>
      <c r="I30" s="9"/>
      <c r="J30" s="9"/>
      <c r="K30" s="9"/>
    </row>
    <row r="31" ht="15.75" customHeight="1">
      <c r="A31" s="9" t="s">
        <v>182</v>
      </c>
      <c r="B31" s="9" t="s">
        <v>183</v>
      </c>
      <c r="C31" s="9" t="s">
        <v>184</v>
      </c>
      <c r="D31" s="9" t="s">
        <v>180</v>
      </c>
      <c r="E31" s="9" t="s">
        <v>181</v>
      </c>
      <c r="F31" s="9" t="s">
        <v>63</v>
      </c>
      <c r="G31" s="9" t="s">
        <v>63</v>
      </c>
      <c r="H31" s="9" t="s">
        <v>54</v>
      </c>
      <c r="I31" s="9"/>
      <c r="J31" s="9"/>
      <c r="K31" s="9"/>
    </row>
    <row r="32" ht="15.75" customHeight="1">
      <c r="A32" s="9" t="s">
        <v>185</v>
      </c>
      <c r="B32" s="9" t="s">
        <v>186</v>
      </c>
      <c r="C32" s="9" t="s">
        <v>187</v>
      </c>
      <c r="D32" s="9" t="s">
        <v>188</v>
      </c>
      <c r="E32" s="9" t="s">
        <v>181</v>
      </c>
      <c r="F32" s="9" t="s">
        <v>63</v>
      </c>
      <c r="G32" s="9" t="s">
        <v>63</v>
      </c>
      <c r="H32" s="9" t="s">
        <v>54</v>
      </c>
      <c r="I32" s="9"/>
      <c r="J32" s="9"/>
      <c r="K32" s="9"/>
    </row>
    <row r="33" ht="15.75" customHeight="1">
      <c r="A33" s="9" t="s">
        <v>189</v>
      </c>
      <c r="B33" s="9" t="s">
        <v>190</v>
      </c>
      <c r="C33" s="9" t="s">
        <v>191</v>
      </c>
      <c r="D33" s="9" t="s">
        <v>180</v>
      </c>
      <c r="E33" s="9" t="s">
        <v>192</v>
      </c>
      <c r="F33" s="9" t="s">
        <v>63</v>
      </c>
      <c r="G33" s="9" t="s">
        <v>63</v>
      </c>
      <c r="H33" s="9" t="s">
        <v>54</v>
      </c>
      <c r="I33" s="9"/>
      <c r="J33" s="9"/>
      <c r="K33" s="9"/>
    </row>
    <row r="34" ht="15.75" customHeight="1">
      <c r="A34" s="9" t="s">
        <v>193</v>
      </c>
      <c r="B34" s="9" t="s">
        <v>194</v>
      </c>
      <c r="C34" s="9" t="s">
        <v>195</v>
      </c>
      <c r="D34" s="9" t="s">
        <v>180</v>
      </c>
      <c r="E34" s="9" t="s">
        <v>196</v>
      </c>
      <c r="F34" s="9" t="s">
        <v>63</v>
      </c>
      <c r="G34" s="9" t="s">
        <v>63</v>
      </c>
      <c r="H34" s="9" t="s">
        <v>54</v>
      </c>
      <c r="I34" s="9"/>
      <c r="J34" s="9"/>
      <c r="K34" s="9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2">
        <v>1.102000001E9</v>
      </c>
      <c r="B37" s="12">
        <v>1.102000001E9</v>
      </c>
      <c r="C37" s="12" t="s">
        <v>197</v>
      </c>
      <c r="D37" s="12" t="s">
        <v>97</v>
      </c>
      <c r="E37" s="11"/>
      <c r="F37" s="11"/>
      <c r="G37" s="12" t="b">
        <v>0</v>
      </c>
      <c r="H37" s="12"/>
      <c r="I37" s="11"/>
      <c r="J37" s="11"/>
      <c r="K37" s="11"/>
    </row>
    <row r="38" ht="15.75" customHeight="1">
      <c r="A38" s="12">
        <v>1.102000002E9</v>
      </c>
      <c r="B38" s="12">
        <v>1.102000002E9</v>
      </c>
      <c r="C38" s="12" t="s">
        <v>198</v>
      </c>
      <c r="D38" s="12" t="s">
        <v>97</v>
      </c>
      <c r="E38" s="11"/>
      <c r="F38" s="11"/>
      <c r="G38" s="12" t="b">
        <v>0</v>
      </c>
      <c r="H38" s="12"/>
      <c r="I38" s="11"/>
      <c r="J38" s="11"/>
      <c r="K38" s="11"/>
    </row>
    <row r="39" ht="15.75" customHeight="1">
      <c r="A39" s="12">
        <v>1.102000003E9</v>
      </c>
      <c r="B39" s="12">
        <v>1.102000003E9</v>
      </c>
      <c r="C39" s="12" t="s">
        <v>199</v>
      </c>
      <c r="D39" s="12" t="s">
        <v>97</v>
      </c>
      <c r="E39" s="11"/>
      <c r="F39" s="11"/>
      <c r="G39" s="12" t="b">
        <v>0</v>
      </c>
      <c r="H39" s="12"/>
      <c r="I39" s="11"/>
      <c r="J39" s="11"/>
      <c r="K39" s="11"/>
    </row>
    <row r="40" ht="15.75" customHeight="1">
      <c r="A40" s="12">
        <v>1.102000004E9</v>
      </c>
      <c r="B40" s="12">
        <v>1.102000004E9</v>
      </c>
      <c r="C40" s="12" t="s">
        <v>200</v>
      </c>
      <c r="D40" s="12" t="s">
        <v>97</v>
      </c>
      <c r="E40" s="11"/>
      <c r="F40" s="11"/>
      <c r="G40" s="12" t="b">
        <v>0</v>
      </c>
      <c r="H40" s="12"/>
      <c r="I40" s="11"/>
      <c r="J40" s="11"/>
      <c r="K40" s="11"/>
    </row>
    <row r="41" ht="15.75" customHeight="1">
      <c r="A41" s="12">
        <v>1.1030193E9</v>
      </c>
      <c r="B41" s="12">
        <v>1.1030193E9</v>
      </c>
      <c r="C41" s="12" t="s">
        <v>201</v>
      </c>
      <c r="D41" s="12" t="s">
        <v>97</v>
      </c>
      <c r="E41" s="11"/>
      <c r="F41" s="11"/>
      <c r="G41" s="12" t="b">
        <v>1</v>
      </c>
      <c r="H41" s="12"/>
      <c r="I41" s="11"/>
      <c r="J41" s="11"/>
      <c r="K41" s="11"/>
    </row>
    <row r="42" ht="15.75" customHeight="1">
      <c r="A42" s="12">
        <v>1.10301929E9</v>
      </c>
      <c r="B42" s="12">
        <v>1.10301929E9</v>
      </c>
      <c r="C42" s="12" t="s">
        <v>202</v>
      </c>
      <c r="D42" s="12" t="s">
        <v>97</v>
      </c>
      <c r="E42" s="11"/>
      <c r="F42" s="11"/>
      <c r="G42" s="12" t="b">
        <v>1</v>
      </c>
      <c r="H42" s="12"/>
      <c r="I42" s="11"/>
      <c r="J42" s="11"/>
      <c r="K42" s="11"/>
    </row>
    <row r="43" ht="15.75" customHeight="1">
      <c r="A43" s="12">
        <v>1.10301927E9</v>
      </c>
      <c r="B43" s="12">
        <v>1.10301927E9</v>
      </c>
      <c r="C43" s="12" t="s">
        <v>203</v>
      </c>
      <c r="D43" s="12" t="s">
        <v>97</v>
      </c>
      <c r="E43" s="11"/>
      <c r="F43" s="11"/>
      <c r="G43" s="12" t="b">
        <v>1</v>
      </c>
      <c r="H43" s="12"/>
      <c r="I43" s="11"/>
      <c r="J43" s="11"/>
      <c r="K43" s="11"/>
    </row>
    <row r="44" ht="15.75" customHeight="1">
      <c r="A44" s="12">
        <v>1.10301928E9</v>
      </c>
      <c r="B44" s="12">
        <v>1.10301928E9</v>
      </c>
      <c r="C44" s="12" t="s">
        <v>204</v>
      </c>
      <c r="D44" s="12" t="s">
        <v>97</v>
      </c>
      <c r="E44" s="11"/>
      <c r="F44" s="11"/>
      <c r="G44" s="12" t="b">
        <v>1</v>
      </c>
      <c r="H44" s="12"/>
      <c r="I44" s="11"/>
      <c r="J44" s="11"/>
      <c r="K44" s="11"/>
    </row>
    <row r="45" ht="15.75" customHeight="1">
      <c r="A45" s="12">
        <v>1.105010001E9</v>
      </c>
      <c r="B45" s="12">
        <v>1.105010001E9</v>
      </c>
      <c r="C45" s="12" t="s">
        <v>205</v>
      </c>
      <c r="D45" s="12" t="s">
        <v>97</v>
      </c>
      <c r="E45" s="11"/>
      <c r="F45" s="11"/>
      <c r="G45" s="12" t="b">
        <v>0</v>
      </c>
      <c r="H45" s="12"/>
      <c r="I45" s="11"/>
      <c r="J45" s="11"/>
      <c r="K45" s="11"/>
    </row>
    <row r="46" ht="15.75" customHeight="1">
      <c r="A46" s="12">
        <v>1.105020001E9</v>
      </c>
      <c r="B46" s="12">
        <v>1.105020001E9</v>
      </c>
      <c r="C46" s="12" t="s">
        <v>206</v>
      </c>
      <c r="D46" s="12" t="s">
        <v>97</v>
      </c>
      <c r="E46" s="11"/>
      <c r="F46" s="11"/>
      <c r="G46" s="12" t="b">
        <v>0</v>
      </c>
      <c r="H46" s="11"/>
      <c r="I46" s="11"/>
      <c r="J46" s="11"/>
      <c r="K46" s="11"/>
    </row>
    <row r="47" ht="15.75" customHeight="1">
      <c r="A47" s="12">
        <v>1.105020007E9</v>
      </c>
      <c r="B47" s="12">
        <v>1.105020007E9</v>
      </c>
      <c r="C47" s="12" t="s">
        <v>207</v>
      </c>
      <c r="D47" s="12" t="s">
        <v>97</v>
      </c>
      <c r="E47" s="11"/>
      <c r="F47" s="11"/>
      <c r="G47" s="12" t="b">
        <v>0</v>
      </c>
      <c r="H47" s="11"/>
      <c r="I47" s="11"/>
      <c r="J47" s="11"/>
      <c r="K47" s="11"/>
    </row>
    <row r="48" ht="15.75" customHeight="1">
      <c r="A48" s="12">
        <v>1.105020008E9</v>
      </c>
      <c r="B48" s="12">
        <v>1.105020008E9</v>
      </c>
      <c r="C48" s="12" t="s">
        <v>208</v>
      </c>
      <c r="D48" s="12" t="s">
        <v>97</v>
      </c>
      <c r="E48" s="11"/>
      <c r="F48" s="11"/>
      <c r="G48" s="12" t="b">
        <v>0</v>
      </c>
      <c r="H48" s="11"/>
      <c r="I48" s="11"/>
      <c r="J48" s="11"/>
      <c r="K48" s="11"/>
    </row>
    <row r="49" ht="15.75" customHeight="1">
      <c r="A49" s="12">
        <v>1.106000001E9</v>
      </c>
      <c r="B49" s="12">
        <v>1.106000001E9</v>
      </c>
      <c r="C49" s="12" t="s">
        <v>209</v>
      </c>
      <c r="D49" s="12" t="s">
        <v>105</v>
      </c>
      <c r="E49" s="11"/>
      <c r="F49" s="11"/>
      <c r="G49" s="12" t="b">
        <v>1</v>
      </c>
      <c r="H49" s="11"/>
      <c r="I49" s="11"/>
      <c r="J49" s="11"/>
      <c r="K49" s="11"/>
    </row>
    <row r="50" ht="15.75" customHeight="1">
      <c r="A50" s="12">
        <v>1.106000097E9</v>
      </c>
      <c r="B50" s="12">
        <v>1.106000097E9</v>
      </c>
      <c r="C50" s="12" t="s">
        <v>210</v>
      </c>
      <c r="D50" s="12" t="s">
        <v>105</v>
      </c>
      <c r="E50" s="11"/>
      <c r="F50" s="11"/>
      <c r="G50" s="12" t="b">
        <v>0</v>
      </c>
      <c r="H50" s="11"/>
      <c r="I50" s="11"/>
      <c r="J50" s="11"/>
      <c r="K50" s="11"/>
    </row>
    <row r="51" ht="15.75" customHeight="1">
      <c r="A51" s="12">
        <v>1.106000099E9</v>
      </c>
      <c r="B51" s="12">
        <v>1.106000099E9</v>
      </c>
      <c r="C51" s="12" t="s">
        <v>211</v>
      </c>
      <c r="D51" s="12" t="s">
        <v>105</v>
      </c>
      <c r="E51" s="11"/>
      <c r="F51" s="11"/>
      <c r="G51" s="12" t="b">
        <v>0</v>
      </c>
      <c r="H51" s="11"/>
      <c r="I51" s="11"/>
      <c r="J51" s="11"/>
      <c r="K51" s="11"/>
    </row>
    <row r="52" ht="15.75" customHeight="1">
      <c r="A52" s="12">
        <v>1.107000001E9</v>
      </c>
      <c r="B52" s="12">
        <v>1.107000001E9</v>
      </c>
      <c r="C52" s="12" t="s">
        <v>212</v>
      </c>
      <c r="D52" s="12" t="s">
        <v>105</v>
      </c>
      <c r="E52" s="11"/>
      <c r="F52" s="11"/>
      <c r="G52" s="12" t="b">
        <v>0</v>
      </c>
      <c r="H52" s="11"/>
      <c r="I52" s="11"/>
      <c r="J52" s="11"/>
      <c r="K52" s="11"/>
    </row>
    <row r="53" ht="15.75" customHeight="1">
      <c r="A53" s="12">
        <v>1.107000002E9</v>
      </c>
      <c r="B53" s="12">
        <v>1.107000002E9</v>
      </c>
      <c r="C53" s="12" t="s">
        <v>213</v>
      </c>
      <c r="D53" s="12" t="s">
        <v>105</v>
      </c>
      <c r="E53" s="11"/>
      <c r="F53" s="11"/>
      <c r="G53" s="12" t="b">
        <v>0</v>
      </c>
      <c r="H53" s="11"/>
      <c r="I53" s="11"/>
      <c r="J53" s="11"/>
      <c r="K53" s="11"/>
    </row>
    <row r="54" ht="15.75" customHeight="1">
      <c r="A54" s="12">
        <v>1.107000999E9</v>
      </c>
      <c r="B54" s="12">
        <v>1.107000999E9</v>
      </c>
      <c r="C54" s="12" t="s">
        <v>214</v>
      </c>
      <c r="D54" s="12" t="s">
        <v>105</v>
      </c>
      <c r="E54" s="11"/>
      <c r="F54" s="11"/>
      <c r="G54" s="12" t="b">
        <v>0</v>
      </c>
      <c r="H54" s="11"/>
      <c r="I54" s="11"/>
      <c r="J54" s="11"/>
      <c r="K54" s="11"/>
    </row>
    <row r="55" ht="15.75" customHeight="1">
      <c r="A55" s="12">
        <v>1.108000001E9</v>
      </c>
      <c r="B55" s="12">
        <v>1.108000001E9</v>
      </c>
      <c r="C55" s="12" t="s">
        <v>215</v>
      </c>
      <c r="D55" s="12" t="s">
        <v>105</v>
      </c>
      <c r="E55" s="11"/>
      <c r="F55" s="11"/>
      <c r="G55" s="12" t="b">
        <v>0</v>
      </c>
      <c r="H55" s="11"/>
      <c r="I55" s="11"/>
      <c r="J55" s="11"/>
      <c r="K55" s="11"/>
    </row>
    <row r="56" ht="15.75" customHeight="1">
      <c r="A56" s="12">
        <v>1.108000002E9</v>
      </c>
      <c r="B56" s="12">
        <v>1.108000002E9</v>
      </c>
      <c r="C56" s="12" t="s">
        <v>216</v>
      </c>
      <c r="D56" s="12" t="s">
        <v>105</v>
      </c>
      <c r="E56" s="11"/>
      <c r="F56" s="11"/>
      <c r="G56" s="12" t="b">
        <v>0</v>
      </c>
      <c r="H56" s="11"/>
      <c r="I56" s="11"/>
      <c r="J56" s="11"/>
      <c r="K56" s="11"/>
    </row>
    <row r="57" ht="15.75" customHeight="1">
      <c r="A57" s="12">
        <v>1.108000003E9</v>
      </c>
      <c r="B57" s="12">
        <v>1.108000003E9</v>
      </c>
      <c r="C57" s="12" t="s">
        <v>217</v>
      </c>
      <c r="D57" s="12" t="s">
        <v>105</v>
      </c>
      <c r="E57" s="11"/>
      <c r="F57" s="11"/>
      <c r="G57" s="12" t="b">
        <v>0</v>
      </c>
      <c r="H57" s="11"/>
      <c r="I57" s="11"/>
      <c r="J57" s="11"/>
      <c r="K57" s="11"/>
    </row>
    <row r="58" ht="15.75" customHeight="1">
      <c r="A58" s="12">
        <v>1.108000004E9</v>
      </c>
      <c r="B58" s="12">
        <v>1.108000004E9</v>
      </c>
      <c r="C58" s="12" t="s">
        <v>218</v>
      </c>
      <c r="D58" s="12" t="s">
        <v>105</v>
      </c>
      <c r="E58" s="11"/>
      <c r="F58" s="11"/>
      <c r="G58" s="12" t="b">
        <v>0</v>
      </c>
      <c r="H58" s="11"/>
      <c r="I58" s="11"/>
      <c r="J58" s="11"/>
      <c r="K58" s="11"/>
    </row>
    <row r="59" ht="15.75" customHeight="1">
      <c r="A59" s="12">
        <v>1.109000001E9</v>
      </c>
      <c r="B59" s="12">
        <v>1.109000001E9</v>
      </c>
      <c r="C59" s="12" t="s">
        <v>219</v>
      </c>
      <c r="D59" s="12" t="s">
        <v>105</v>
      </c>
      <c r="E59" s="11"/>
      <c r="F59" s="11"/>
      <c r="G59" s="12" t="b">
        <v>0</v>
      </c>
      <c r="H59" s="11"/>
      <c r="I59" s="11"/>
      <c r="J59" s="11"/>
      <c r="K59" s="11"/>
    </row>
    <row r="60" ht="15.75" customHeight="1">
      <c r="A60" s="12">
        <v>1.109000002E9</v>
      </c>
      <c r="B60" s="12">
        <v>1.109000002E9</v>
      </c>
      <c r="C60" s="12" t="s">
        <v>220</v>
      </c>
      <c r="D60" s="12" t="s">
        <v>105</v>
      </c>
      <c r="E60" s="11"/>
      <c r="F60" s="11"/>
      <c r="G60" s="12" t="b">
        <v>0</v>
      </c>
      <c r="H60" s="11"/>
      <c r="I60" s="11"/>
      <c r="J60" s="11"/>
      <c r="K60" s="11"/>
    </row>
    <row r="61" ht="15.75" customHeight="1">
      <c r="A61" s="12">
        <v>1.109000003E9</v>
      </c>
      <c r="B61" s="12">
        <v>1.109000003E9</v>
      </c>
      <c r="C61" s="12" t="s">
        <v>221</v>
      </c>
      <c r="D61" s="12" t="s">
        <v>105</v>
      </c>
      <c r="E61" s="11"/>
      <c r="F61" s="11"/>
      <c r="G61" s="12" t="b">
        <v>0</v>
      </c>
      <c r="H61" s="11"/>
      <c r="I61" s="11"/>
      <c r="J61" s="11"/>
      <c r="K61" s="11"/>
    </row>
    <row r="62" ht="15.75" customHeight="1">
      <c r="A62" s="12">
        <v>1.109000004E9</v>
      </c>
      <c r="B62" s="12">
        <v>1.109000004E9</v>
      </c>
      <c r="C62" s="12" t="s">
        <v>222</v>
      </c>
      <c r="D62" s="12" t="s">
        <v>105</v>
      </c>
      <c r="E62" s="11"/>
      <c r="F62" s="11"/>
      <c r="G62" s="12" t="b">
        <v>0</v>
      </c>
      <c r="H62" s="11"/>
      <c r="I62" s="11"/>
      <c r="J62" s="11"/>
      <c r="K62" s="11"/>
    </row>
    <row r="63" ht="15.75" customHeight="1">
      <c r="A63" s="12">
        <v>1.109000006E9</v>
      </c>
      <c r="B63" s="12">
        <v>1.109000006E9</v>
      </c>
      <c r="C63" s="12" t="s">
        <v>223</v>
      </c>
      <c r="D63" s="12" t="s">
        <v>105</v>
      </c>
      <c r="E63" s="11"/>
      <c r="F63" s="11"/>
      <c r="G63" s="12" t="b">
        <v>1</v>
      </c>
      <c r="H63" s="11"/>
      <c r="I63" s="11"/>
      <c r="J63" s="11"/>
      <c r="K63" s="11"/>
    </row>
    <row r="64" ht="15.75" customHeight="1">
      <c r="A64" s="12">
        <v>1.109000008E9</v>
      </c>
      <c r="B64" s="12">
        <v>1.109000008E9</v>
      </c>
      <c r="C64" s="12" t="s">
        <v>224</v>
      </c>
      <c r="D64" s="12" t="s">
        <v>105</v>
      </c>
      <c r="E64" s="11"/>
      <c r="F64" s="11"/>
      <c r="G64" s="12" t="b">
        <v>1</v>
      </c>
      <c r="H64" s="11"/>
      <c r="I64" s="11"/>
      <c r="J64" s="11"/>
      <c r="K64" s="11"/>
    </row>
    <row r="65" ht="15.75" customHeight="1">
      <c r="A65" s="12">
        <v>1.109000009E9</v>
      </c>
      <c r="B65" s="12">
        <v>1.109000009E9</v>
      </c>
      <c r="C65" s="12" t="s">
        <v>225</v>
      </c>
      <c r="D65" s="12" t="s">
        <v>105</v>
      </c>
      <c r="E65" s="11"/>
      <c r="F65" s="11"/>
      <c r="G65" s="12" t="b">
        <v>0</v>
      </c>
      <c r="H65" s="11"/>
      <c r="I65" s="11"/>
      <c r="J65" s="11"/>
      <c r="K65" s="11"/>
    </row>
    <row r="66" ht="15.75" customHeight="1">
      <c r="A66" s="12">
        <v>1.109000097E9</v>
      </c>
      <c r="B66" s="12">
        <v>1.109000097E9</v>
      </c>
      <c r="C66" s="12" t="s">
        <v>226</v>
      </c>
      <c r="D66" s="12" t="s">
        <v>105</v>
      </c>
      <c r="E66" s="11"/>
      <c r="F66" s="11"/>
      <c r="G66" s="12" t="b">
        <v>0</v>
      </c>
      <c r="H66" s="11"/>
      <c r="I66" s="11"/>
      <c r="J66" s="11"/>
      <c r="K66" s="11"/>
    </row>
    <row r="67" ht="15.75" customHeight="1">
      <c r="A67" s="13">
        <v>1.109000098E9</v>
      </c>
      <c r="B67" s="13">
        <v>1.109000098E9</v>
      </c>
      <c r="C67" s="13" t="s">
        <v>227</v>
      </c>
      <c r="D67" s="13" t="s">
        <v>105</v>
      </c>
      <c r="G67" s="13" t="b">
        <v>0</v>
      </c>
    </row>
    <row r="68" ht="15.75" customHeight="1">
      <c r="A68" s="13">
        <v>1.109000099E9</v>
      </c>
      <c r="B68" s="13">
        <v>1.109000099E9</v>
      </c>
      <c r="C68" s="13" t="s">
        <v>228</v>
      </c>
      <c r="D68" s="13" t="s">
        <v>105</v>
      </c>
      <c r="G68" s="13" t="b">
        <v>0</v>
      </c>
    </row>
    <row r="69" ht="15.75" customHeight="1">
      <c r="A69" s="13">
        <v>1.109000999E9</v>
      </c>
      <c r="B69" s="13">
        <v>1.109000999E9</v>
      </c>
      <c r="C69" s="13" t="s">
        <v>229</v>
      </c>
      <c r="D69" s="13" t="s">
        <v>105</v>
      </c>
      <c r="G69" s="13" t="b">
        <v>0</v>
      </c>
    </row>
    <row r="70" ht="15.75" customHeight="1">
      <c r="A70" s="13">
        <v>1.110000001E9</v>
      </c>
      <c r="B70" s="13">
        <v>1.110000001E9</v>
      </c>
      <c r="C70" s="13" t="s">
        <v>230</v>
      </c>
      <c r="D70" s="13" t="s">
        <v>105</v>
      </c>
      <c r="G70" s="13" t="b">
        <v>1</v>
      </c>
    </row>
    <row r="71" ht="15.75" customHeight="1">
      <c r="A71" s="13">
        <v>1.110000002E9</v>
      </c>
      <c r="B71" s="13">
        <v>1.110000002E9</v>
      </c>
      <c r="C71" s="13" t="s">
        <v>231</v>
      </c>
      <c r="D71" s="13" t="s">
        <v>105</v>
      </c>
      <c r="G71" s="13" t="b">
        <v>1</v>
      </c>
    </row>
    <row r="72" ht="15.75" customHeight="1">
      <c r="A72" s="13">
        <v>1.110000003E9</v>
      </c>
      <c r="B72" s="13">
        <v>1.110000003E9</v>
      </c>
      <c r="C72" s="13" t="s">
        <v>232</v>
      </c>
      <c r="D72" s="13" t="s">
        <v>105</v>
      </c>
      <c r="G72" s="13" t="b">
        <v>0</v>
      </c>
    </row>
    <row r="73" ht="15.75" customHeight="1">
      <c r="A73" s="13">
        <v>1.110000999E9</v>
      </c>
      <c r="B73" s="13">
        <v>1.110000999E9</v>
      </c>
      <c r="C73" s="13" t="s">
        <v>233</v>
      </c>
      <c r="D73" s="13" t="s">
        <v>105</v>
      </c>
      <c r="G73" s="13" t="b">
        <v>0</v>
      </c>
    </row>
    <row r="74" ht="15.75" customHeight="1">
      <c r="A74" s="13">
        <v>1.111000001E9</v>
      </c>
      <c r="B74" s="13">
        <v>1.111000001E9</v>
      </c>
      <c r="C74" s="13" t="s">
        <v>234</v>
      </c>
      <c r="D74" s="13" t="s">
        <v>105</v>
      </c>
      <c r="G74" s="13" t="b">
        <v>1</v>
      </c>
    </row>
    <row r="75" ht="15.75" customHeight="1">
      <c r="A75" s="13">
        <v>1.112000001E9</v>
      </c>
      <c r="B75" s="13">
        <v>1.112000001E9</v>
      </c>
      <c r="C75" s="13" t="s">
        <v>235</v>
      </c>
      <c r="D75" s="13" t="s">
        <v>109</v>
      </c>
      <c r="G75" s="13" t="b">
        <v>0</v>
      </c>
    </row>
    <row r="76" ht="15.75" customHeight="1">
      <c r="A76" s="13">
        <v>1.112000002E9</v>
      </c>
      <c r="B76" s="13">
        <v>1.112000002E9</v>
      </c>
      <c r="C76" s="13" t="s">
        <v>236</v>
      </c>
      <c r="D76" s="13" t="s">
        <v>109</v>
      </c>
      <c r="G76" s="13" t="b">
        <v>0</v>
      </c>
    </row>
    <row r="77" ht="15.75" customHeight="1">
      <c r="A77" s="13">
        <v>1.112000003E9</v>
      </c>
      <c r="B77" s="13">
        <v>1.112000003E9</v>
      </c>
      <c r="C77" s="13" t="s">
        <v>237</v>
      </c>
      <c r="D77" s="13" t="s">
        <v>109</v>
      </c>
      <c r="G77" s="13" t="b">
        <v>0</v>
      </c>
    </row>
    <row r="78" ht="15.75" customHeight="1">
      <c r="A78" s="13">
        <v>1.113100001E9</v>
      </c>
      <c r="B78" s="13">
        <v>1.113100001E9</v>
      </c>
      <c r="C78" s="13" t="s">
        <v>238</v>
      </c>
      <c r="D78" s="13" t="s">
        <v>109</v>
      </c>
      <c r="G78" s="13" t="b">
        <v>0</v>
      </c>
    </row>
    <row r="79" ht="15.75" customHeight="1">
      <c r="A79" s="13">
        <v>1.113100002E9</v>
      </c>
      <c r="B79" s="13">
        <v>1.113100002E9</v>
      </c>
      <c r="C79" s="13" t="s">
        <v>239</v>
      </c>
      <c r="D79" s="13" t="s">
        <v>109</v>
      </c>
      <c r="G79" s="13" t="b">
        <v>0</v>
      </c>
    </row>
    <row r="80" ht="15.75" customHeight="1">
      <c r="A80" s="13">
        <v>1.113100003E9</v>
      </c>
      <c r="B80" s="13">
        <v>1.113100003E9</v>
      </c>
      <c r="C80" s="13" t="s">
        <v>240</v>
      </c>
      <c r="D80" s="13" t="s">
        <v>109</v>
      </c>
      <c r="G80" s="13" t="b">
        <v>0</v>
      </c>
    </row>
    <row r="81" ht="15.75" customHeight="1">
      <c r="A81" s="13">
        <v>1.113100004E9</v>
      </c>
      <c r="B81" s="13">
        <v>1.113100004E9</v>
      </c>
      <c r="C81" s="13" t="s">
        <v>241</v>
      </c>
      <c r="D81" s="13" t="s">
        <v>109</v>
      </c>
      <c r="G81" s="13" t="b">
        <v>0</v>
      </c>
    </row>
    <row r="82" ht="15.75" customHeight="1">
      <c r="A82" s="13">
        <v>1.113100005E9</v>
      </c>
      <c r="B82" s="13">
        <v>1.113100005E9</v>
      </c>
      <c r="C82" s="13" t="s">
        <v>242</v>
      </c>
      <c r="D82" s="13" t="s">
        <v>109</v>
      </c>
      <c r="G82" s="13" t="b">
        <v>0</v>
      </c>
    </row>
    <row r="83" ht="15.75" customHeight="1">
      <c r="A83" s="13">
        <v>1.113100006E9</v>
      </c>
      <c r="B83" s="13">
        <v>1.113100006E9</v>
      </c>
      <c r="C83" s="13" t="s">
        <v>243</v>
      </c>
      <c r="D83" s="13" t="s">
        <v>109</v>
      </c>
      <c r="G83" s="13" t="b">
        <v>0</v>
      </c>
    </row>
    <row r="84" ht="15.75" customHeight="1">
      <c r="A84" s="13">
        <v>1.113100007E9</v>
      </c>
      <c r="B84" s="13">
        <v>1.113100007E9</v>
      </c>
      <c r="C84" s="13" t="s">
        <v>244</v>
      </c>
      <c r="D84" s="13" t="s">
        <v>109</v>
      </c>
      <c r="G84" s="13" t="b">
        <v>0</v>
      </c>
    </row>
    <row r="85" ht="15.75" customHeight="1">
      <c r="A85" s="13">
        <v>1.113100008E9</v>
      </c>
      <c r="B85" s="13">
        <v>1.113100008E9</v>
      </c>
      <c r="C85" s="13" t="s">
        <v>245</v>
      </c>
      <c r="D85" s="13" t="s">
        <v>109</v>
      </c>
      <c r="G85" s="13" t="b">
        <v>0</v>
      </c>
    </row>
    <row r="86" ht="15.75" customHeight="1">
      <c r="A86" s="13">
        <v>1.113100009E9</v>
      </c>
      <c r="B86" s="13">
        <v>1.113100009E9</v>
      </c>
      <c r="C86" s="13" t="s">
        <v>246</v>
      </c>
      <c r="D86" s="13" t="s">
        <v>109</v>
      </c>
      <c r="G86" s="13" t="b">
        <v>0</v>
      </c>
    </row>
    <row r="87" ht="15.75" customHeight="1">
      <c r="A87" s="13">
        <v>1.11310001E9</v>
      </c>
      <c r="B87" s="13">
        <v>1.11310001E9</v>
      </c>
      <c r="C87" s="13" t="s">
        <v>247</v>
      </c>
      <c r="D87" s="13" t="s">
        <v>109</v>
      </c>
      <c r="G87" s="13" t="b">
        <v>0</v>
      </c>
    </row>
    <row r="88" ht="15.75" customHeight="1">
      <c r="A88" s="13">
        <v>1.113100011E9</v>
      </c>
      <c r="B88" s="13">
        <v>1.113100011E9</v>
      </c>
      <c r="C88" s="13" t="s">
        <v>248</v>
      </c>
      <c r="D88" s="13" t="s">
        <v>109</v>
      </c>
      <c r="G88" s="13" t="b">
        <v>0</v>
      </c>
    </row>
    <row r="89" ht="15.75" customHeight="1">
      <c r="A89" s="13">
        <v>1.113100012E9</v>
      </c>
      <c r="B89" s="13">
        <v>1.113100012E9</v>
      </c>
      <c r="C89" s="13" t="s">
        <v>249</v>
      </c>
      <c r="D89" s="13" t="s">
        <v>109</v>
      </c>
      <c r="G89" s="13" t="b">
        <v>0</v>
      </c>
    </row>
    <row r="90" ht="15.75" customHeight="1">
      <c r="A90" s="13">
        <v>1.113100013E9</v>
      </c>
      <c r="B90" s="13">
        <v>1.113100013E9</v>
      </c>
      <c r="C90" s="13" t="s">
        <v>250</v>
      </c>
      <c r="D90" s="13" t="s">
        <v>109</v>
      </c>
      <c r="G90" s="13" t="b">
        <v>0</v>
      </c>
    </row>
    <row r="91" ht="15.75" customHeight="1">
      <c r="A91" s="13">
        <v>1.113100014E9</v>
      </c>
      <c r="B91" s="13">
        <v>1.113100014E9</v>
      </c>
      <c r="C91" s="13" t="s">
        <v>251</v>
      </c>
      <c r="D91" s="13" t="s">
        <v>109</v>
      </c>
      <c r="G91" s="13" t="b">
        <v>0</v>
      </c>
    </row>
    <row r="92" ht="15.75" customHeight="1">
      <c r="A92" s="13">
        <v>1.113100015E9</v>
      </c>
      <c r="B92" s="13">
        <v>1.113100015E9</v>
      </c>
      <c r="C92" s="13" t="s">
        <v>252</v>
      </c>
      <c r="D92" s="13" t="s">
        <v>109</v>
      </c>
      <c r="G92" s="13" t="b">
        <v>0</v>
      </c>
    </row>
    <row r="93" ht="15.75" customHeight="1">
      <c r="A93" s="13">
        <v>1.113100016E9</v>
      </c>
      <c r="B93" s="13">
        <v>1.113100016E9</v>
      </c>
      <c r="C93" s="13" t="s">
        <v>253</v>
      </c>
      <c r="D93" s="13" t="s">
        <v>109</v>
      </c>
      <c r="G93" s="13" t="b">
        <v>0</v>
      </c>
    </row>
    <row r="94" ht="15.75" customHeight="1">
      <c r="A94" s="13">
        <v>1.113100021E9</v>
      </c>
      <c r="B94" s="13">
        <v>1.113100021E9</v>
      </c>
      <c r="C94" s="13" t="s">
        <v>254</v>
      </c>
      <c r="D94" s="13" t="s">
        <v>109</v>
      </c>
      <c r="G94" s="13" t="b">
        <v>0</v>
      </c>
    </row>
    <row r="95" ht="15.75" customHeight="1">
      <c r="A95" s="13">
        <v>1.113100022E9</v>
      </c>
      <c r="B95" s="13">
        <v>1.113100022E9</v>
      </c>
      <c r="C95" s="13" t="s">
        <v>255</v>
      </c>
      <c r="D95" s="13" t="s">
        <v>109</v>
      </c>
      <c r="G95" s="13" t="b">
        <v>0</v>
      </c>
    </row>
    <row r="96" ht="15.75" customHeight="1">
      <c r="A96" s="13">
        <v>1.113100023E9</v>
      </c>
      <c r="B96" s="13">
        <v>1.113100023E9</v>
      </c>
      <c r="C96" s="13" t="s">
        <v>256</v>
      </c>
      <c r="D96" s="13" t="s">
        <v>109</v>
      </c>
      <c r="G96" s="13" t="b">
        <v>0</v>
      </c>
    </row>
    <row r="97" ht="15.75" customHeight="1">
      <c r="A97" s="13">
        <v>1.113100024E9</v>
      </c>
      <c r="B97" s="13">
        <v>1.113100024E9</v>
      </c>
      <c r="C97" s="13" t="s">
        <v>257</v>
      </c>
      <c r="D97" s="13" t="s">
        <v>109</v>
      </c>
      <c r="G97" s="13" t="b">
        <v>0</v>
      </c>
    </row>
    <row r="98" ht="15.75" customHeight="1">
      <c r="A98" s="13">
        <v>1.113100025E9</v>
      </c>
      <c r="B98" s="13">
        <v>1.113100025E9</v>
      </c>
      <c r="C98" s="13" t="s">
        <v>258</v>
      </c>
      <c r="D98" s="13" t="s">
        <v>109</v>
      </c>
      <c r="G98" s="13" t="b">
        <v>0</v>
      </c>
    </row>
    <row r="99" ht="15.75" customHeight="1">
      <c r="A99" s="13">
        <v>1.113100026E9</v>
      </c>
      <c r="B99" s="13">
        <v>1.113100026E9</v>
      </c>
      <c r="C99" s="13" t="s">
        <v>259</v>
      </c>
      <c r="D99" s="13" t="s">
        <v>109</v>
      </c>
      <c r="G99" s="13" t="b">
        <v>0</v>
      </c>
    </row>
    <row r="100" ht="15.75" customHeight="1">
      <c r="A100" s="13">
        <v>1.113100027E9</v>
      </c>
      <c r="B100" s="13">
        <v>1.113100027E9</v>
      </c>
      <c r="C100" s="13" t="s">
        <v>260</v>
      </c>
      <c r="D100" s="13" t="s">
        <v>109</v>
      </c>
      <c r="G100" s="13" t="b">
        <v>0</v>
      </c>
    </row>
    <row r="101" ht="15.75" customHeight="1">
      <c r="A101" s="13">
        <v>1.113100028E9</v>
      </c>
      <c r="B101" s="13">
        <v>1.113100028E9</v>
      </c>
      <c r="C101" s="13" t="s">
        <v>261</v>
      </c>
      <c r="D101" s="13" t="s">
        <v>109</v>
      </c>
      <c r="G101" s="13" t="b">
        <v>0</v>
      </c>
    </row>
    <row r="102" ht="15.75" customHeight="1">
      <c r="A102" s="13">
        <v>1.113100029E9</v>
      </c>
      <c r="B102" s="13">
        <v>1.113100029E9</v>
      </c>
      <c r="C102" s="13" t="s">
        <v>262</v>
      </c>
      <c r="D102" s="13" t="s">
        <v>109</v>
      </c>
      <c r="G102" s="13" t="b">
        <v>0</v>
      </c>
    </row>
    <row r="103" ht="15.75" customHeight="1">
      <c r="A103" s="13">
        <v>1.113100098E9</v>
      </c>
      <c r="B103" s="13">
        <v>1.113100098E9</v>
      </c>
      <c r="C103" s="13" t="s">
        <v>263</v>
      </c>
      <c r="D103" s="13" t="s">
        <v>109</v>
      </c>
      <c r="G103" s="13" t="b">
        <v>0</v>
      </c>
    </row>
    <row r="104" ht="15.75" customHeight="1">
      <c r="A104" s="13">
        <v>1.113100099E9</v>
      </c>
      <c r="B104" s="13">
        <v>1.113100099E9</v>
      </c>
      <c r="C104" s="13" t="s">
        <v>264</v>
      </c>
      <c r="D104" s="13" t="s">
        <v>109</v>
      </c>
      <c r="G104" s="13" t="b">
        <v>0</v>
      </c>
    </row>
    <row r="105" ht="15.75" customHeight="1">
      <c r="A105" s="13">
        <v>1.113200001E9</v>
      </c>
      <c r="B105" s="13">
        <v>1.113200001E9</v>
      </c>
      <c r="C105" s="13" t="s">
        <v>265</v>
      </c>
      <c r="D105" s="13" t="s">
        <v>109</v>
      </c>
      <c r="G105" s="13" t="b">
        <v>0</v>
      </c>
    </row>
    <row r="106" ht="15.75" customHeight="1">
      <c r="A106" s="13">
        <v>1.113300001E9</v>
      </c>
      <c r="B106" s="13">
        <v>1.113300001E9</v>
      </c>
      <c r="C106" s="13" t="s">
        <v>266</v>
      </c>
      <c r="D106" s="13" t="s">
        <v>109</v>
      </c>
      <c r="G106" s="13" t="b">
        <v>0</v>
      </c>
    </row>
    <row r="107" ht="15.75" customHeight="1">
      <c r="A107" s="13">
        <v>1.113900001E9</v>
      </c>
      <c r="B107" s="13">
        <v>1.113900001E9</v>
      </c>
      <c r="C107" s="13" t="s">
        <v>267</v>
      </c>
      <c r="D107" s="13" t="s">
        <v>109</v>
      </c>
      <c r="G107" s="13" t="b">
        <v>0</v>
      </c>
    </row>
    <row r="108" ht="15.75" customHeight="1">
      <c r="A108" s="13">
        <v>1.113900009E9</v>
      </c>
      <c r="B108" s="13">
        <v>1.113900009E9</v>
      </c>
      <c r="C108" s="13" t="s">
        <v>268</v>
      </c>
      <c r="D108" s="13" t="s">
        <v>109</v>
      </c>
      <c r="G108" s="13" t="b">
        <v>0</v>
      </c>
    </row>
    <row r="109" ht="15.75" customHeight="1">
      <c r="A109" s="13">
        <v>1.114000001E9</v>
      </c>
      <c r="B109" s="13">
        <v>1.114000001E9</v>
      </c>
      <c r="C109" s="13" t="s">
        <v>269</v>
      </c>
      <c r="D109" s="13" t="s">
        <v>109</v>
      </c>
      <c r="G109" s="13" t="b">
        <v>0</v>
      </c>
    </row>
    <row r="110" ht="15.75" customHeight="1">
      <c r="A110" s="13">
        <v>1.114000002E9</v>
      </c>
      <c r="B110" s="13">
        <v>1.114000002E9</v>
      </c>
      <c r="C110" s="13" t="s">
        <v>270</v>
      </c>
      <c r="D110" s="13" t="s">
        <v>109</v>
      </c>
      <c r="G110" s="13" t="b">
        <v>0</v>
      </c>
    </row>
    <row r="111" ht="15.75" customHeight="1">
      <c r="A111" s="13">
        <v>1.114000003E9</v>
      </c>
      <c r="B111" s="13">
        <v>1.114000003E9</v>
      </c>
      <c r="C111" s="13" t="s">
        <v>271</v>
      </c>
      <c r="D111" s="13" t="s">
        <v>109</v>
      </c>
      <c r="G111" s="13" t="b">
        <v>0</v>
      </c>
    </row>
    <row r="112" ht="15.75" customHeight="1">
      <c r="A112" s="13">
        <v>1.114000004E9</v>
      </c>
      <c r="B112" s="13">
        <v>1.114000004E9</v>
      </c>
      <c r="C112" s="13" t="s">
        <v>272</v>
      </c>
      <c r="D112" s="13" t="s">
        <v>109</v>
      </c>
      <c r="G112" s="13" t="b">
        <v>0</v>
      </c>
    </row>
    <row r="113" ht="15.75" customHeight="1">
      <c r="A113" s="13">
        <v>1.114000005E9</v>
      </c>
      <c r="B113" s="13">
        <v>1.114000005E9</v>
      </c>
      <c r="C113" s="13" t="s">
        <v>273</v>
      </c>
      <c r="D113" s="13" t="s">
        <v>109</v>
      </c>
      <c r="G113" s="13" t="b">
        <v>0</v>
      </c>
    </row>
    <row r="114" ht="15.75" customHeight="1">
      <c r="A114" s="13">
        <v>1.114000006E9</v>
      </c>
      <c r="B114" s="13">
        <v>1.114000006E9</v>
      </c>
      <c r="C114" s="13" t="s">
        <v>274</v>
      </c>
      <c r="D114" s="13" t="s">
        <v>109</v>
      </c>
      <c r="G114" s="13" t="b">
        <v>0</v>
      </c>
    </row>
    <row r="115" ht="15.75" customHeight="1">
      <c r="A115" s="13">
        <v>1.114000007E9</v>
      </c>
      <c r="B115" s="13">
        <v>1.114000007E9</v>
      </c>
      <c r="C115" s="13" t="s">
        <v>275</v>
      </c>
      <c r="D115" s="13" t="s">
        <v>109</v>
      </c>
      <c r="G115" s="13" t="b">
        <v>0</v>
      </c>
    </row>
    <row r="116" ht="15.75" customHeight="1">
      <c r="A116" s="13">
        <v>1.114000008E9</v>
      </c>
      <c r="B116" s="13">
        <v>1.114000008E9</v>
      </c>
      <c r="C116" s="13" t="s">
        <v>276</v>
      </c>
      <c r="D116" s="13" t="s">
        <v>109</v>
      </c>
      <c r="G116" s="13" t="b">
        <v>0</v>
      </c>
    </row>
    <row r="117" ht="15.75" customHeight="1">
      <c r="A117" s="13">
        <v>1.114000009E9</v>
      </c>
      <c r="B117" s="13">
        <v>1.114000009E9</v>
      </c>
      <c r="C117" s="13" t="s">
        <v>277</v>
      </c>
      <c r="D117" s="13" t="s">
        <v>109</v>
      </c>
      <c r="G117" s="13" t="b">
        <v>0</v>
      </c>
    </row>
    <row r="118" ht="15.75" customHeight="1">
      <c r="A118" s="13">
        <v>1.11400001E9</v>
      </c>
      <c r="B118" s="13">
        <v>1.11400001E9</v>
      </c>
      <c r="C118" s="13" t="s">
        <v>278</v>
      </c>
      <c r="D118" s="13" t="s">
        <v>109</v>
      </c>
      <c r="G118" s="13" t="b">
        <v>0</v>
      </c>
    </row>
    <row r="119" ht="15.75" customHeight="1">
      <c r="A119" s="13">
        <v>1.114000011E9</v>
      </c>
      <c r="B119" s="13">
        <v>1.114000011E9</v>
      </c>
      <c r="C119" s="13" t="s">
        <v>279</v>
      </c>
      <c r="D119" s="13" t="s">
        <v>109</v>
      </c>
      <c r="G119" s="13" t="b">
        <v>0</v>
      </c>
    </row>
    <row r="120" ht="15.75" customHeight="1">
      <c r="A120" s="13">
        <v>1.114000012E9</v>
      </c>
      <c r="B120" s="13">
        <v>1.114000012E9</v>
      </c>
      <c r="C120" s="13" t="s">
        <v>280</v>
      </c>
      <c r="D120" s="13" t="s">
        <v>109</v>
      </c>
      <c r="G120" s="13" t="b">
        <v>0</v>
      </c>
    </row>
    <row r="121" ht="15.75" customHeight="1">
      <c r="A121" s="13">
        <v>1.114000013E9</v>
      </c>
      <c r="B121" s="13">
        <v>1.114000013E9</v>
      </c>
      <c r="C121" s="13" t="s">
        <v>281</v>
      </c>
      <c r="D121" s="13" t="s">
        <v>109</v>
      </c>
      <c r="G121" s="13" t="b">
        <v>0</v>
      </c>
    </row>
    <row r="122" ht="15.75" customHeight="1">
      <c r="A122" s="13">
        <v>1.114000014E9</v>
      </c>
      <c r="B122" s="13">
        <v>1.114000014E9</v>
      </c>
      <c r="C122" s="13" t="s">
        <v>282</v>
      </c>
      <c r="D122" s="13" t="s">
        <v>109</v>
      </c>
      <c r="G122" s="13" t="b">
        <v>0</v>
      </c>
    </row>
    <row r="123" ht="15.75" customHeight="1">
      <c r="A123" s="13">
        <v>1.114000015E9</v>
      </c>
      <c r="B123" s="13">
        <v>1.114000015E9</v>
      </c>
      <c r="C123" s="13" t="s">
        <v>283</v>
      </c>
      <c r="D123" s="13" t="s">
        <v>109</v>
      </c>
      <c r="G123" s="13" t="b">
        <v>0</v>
      </c>
    </row>
    <row r="124" ht="15.75" customHeight="1">
      <c r="A124" s="13">
        <v>1.114000024E9</v>
      </c>
      <c r="B124" s="13">
        <v>1.114000024E9</v>
      </c>
      <c r="C124" s="13" t="s">
        <v>284</v>
      </c>
      <c r="D124" s="13" t="s">
        <v>109</v>
      </c>
      <c r="G124" s="13" t="b">
        <v>0</v>
      </c>
    </row>
    <row r="125" ht="15.75" customHeight="1">
      <c r="A125" s="13">
        <v>1.114000096E9</v>
      </c>
      <c r="B125" s="13">
        <v>1.114000096E9</v>
      </c>
      <c r="C125" s="13" t="s">
        <v>285</v>
      </c>
      <c r="D125" s="13" t="s">
        <v>109</v>
      </c>
      <c r="G125" s="13" t="b">
        <v>0</v>
      </c>
    </row>
    <row r="126" ht="15.75" customHeight="1">
      <c r="A126" s="13">
        <v>1.114000098E9</v>
      </c>
      <c r="B126" s="13">
        <v>1.114000098E9</v>
      </c>
      <c r="C126" s="13" t="s">
        <v>286</v>
      </c>
      <c r="D126" s="13" t="s">
        <v>109</v>
      </c>
      <c r="G126" s="13" t="b">
        <v>0</v>
      </c>
    </row>
    <row r="127" ht="15.75" customHeight="1">
      <c r="A127" s="13">
        <v>1.114000099E9</v>
      </c>
      <c r="B127" s="13">
        <v>1.114000099E9</v>
      </c>
      <c r="C127" s="13" t="s">
        <v>287</v>
      </c>
      <c r="D127" s="13" t="s">
        <v>109</v>
      </c>
      <c r="G127" s="13" t="b">
        <v>0</v>
      </c>
    </row>
    <row r="128" ht="15.75" customHeight="1">
      <c r="A128" s="13">
        <v>1.115100001E9</v>
      </c>
      <c r="B128" s="13">
        <v>1.115100001E9</v>
      </c>
      <c r="C128" s="13" t="s">
        <v>288</v>
      </c>
      <c r="D128" s="13" t="s">
        <v>289</v>
      </c>
      <c r="G128" s="13" t="b">
        <v>1</v>
      </c>
    </row>
    <row r="129" ht="15.75" customHeight="1">
      <c r="A129" s="13">
        <v>1.115200001E9</v>
      </c>
      <c r="B129" s="13">
        <v>1.115200001E9</v>
      </c>
      <c r="C129" s="13" t="s">
        <v>290</v>
      </c>
      <c r="D129" s="13" t="s">
        <v>289</v>
      </c>
      <c r="G129" s="13" t="b">
        <v>1</v>
      </c>
    </row>
    <row r="130" ht="15.75" customHeight="1">
      <c r="A130" s="13">
        <v>1.115300001E9</v>
      </c>
      <c r="B130" s="13">
        <v>1.115300001E9</v>
      </c>
      <c r="C130" s="13" t="s">
        <v>291</v>
      </c>
      <c r="D130" s="13" t="s">
        <v>289</v>
      </c>
      <c r="G130" s="13" t="b">
        <v>0</v>
      </c>
    </row>
    <row r="131" ht="15.75" customHeight="1">
      <c r="A131" s="13">
        <v>1.115600001E9</v>
      </c>
      <c r="B131" s="13">
        <v>1.115600001E9</v>
      </c>
      <c r="C131" s="13" t="s">
        <v>292</v>
      </c>
      <c r="D131" s="13" t="s">
        <v>289</v>
      </c>
      <c r="G131" s="13" t="b">
        <v>1</v>
      </c>
    </row>
    <row r="132" ht="15.75" customHeight="1">
      <c r="A132" s="13">
        <v>1.115600002E9</v>
      </c>
      <c r="B132" s="13">
        <v>1.115600002E9</v>
      </c>
      <c r="C132" s="13" t="s">
        <v>293</v>
      </c>
      <c r="D132" s="13" t="s">
        <v>289</v>
      </c>
      <c r="G132" s="13" t="b">
        <v>0</v>
      </c>
    </row>
    <row r="133" ht="15.75" customHeight="1">
      <c r="A133" s="13">
        <v>1.116100001E9</v>
      </c>
      <c r="B133" s="13">
        <v>1.116100001E9</v>
      </c>
      <c r="C133" s="13" t="s">
        <v>294</v>
      </c>
      <c r="D133" s="13" t="s">
        <v>289</v>
      </c>
      <c r="G133" s="13" t="b">
        <v>0</v>
      </c>
    </row>
    <row r="134" ht="15.75" customHeight="1">
      <c r="A134" s="13">
        <v>1.116100002E9</v>
      </c>
      <c r="B134" s="13">
        <v>1.116100002E9</v>
      </c>
      <c r="C134" s="13" t="s">
        <v>295</v>
      </c>
      <c r="D134" s="13" t="s">
        <v>289</v>
      </c>
      <c r="G134" s="13" t="b">
        <v>0</v>
      </c>
    </row>
    <row r="135" ht="15.75" customHeight="1">
      <c r="A135" s="13">
        <v>1.116100003E9</v>
      </c>
      <c r="B135" s="13">
        <v>1.116100003E9</v>
      </c>
      <c r="C135" s="13" t="s">
        <v>296</v>
      </c>
      <c r="D135" s="13" t="s">
        <v>289</v>
      </c>
      <c r="G135" s="13" t="b">
        <v>0</v>
      </c>
    </row>
    <row r="136" ht="15.75" customHeight="1">
      <c r="A136" s="13">
        <v>1.116100004E9</v>
      </c>
      <c r="B136" s="13">
        <v>1.116100004E9</v>
      </c>
      <c r="C136" s="13" t="s">
        <v>297</v>
      </c>
      <c r="D136" s="13" t="s">
        <v>289</v>
      </c>
      <c r="G136" s="13" t="b">
        <v>0</v>
      </c>
    </row>
    <row r="137" ht="15.75" customHeight="1">
      <c r="A137" s="13">
        <v>1.116100005E9</v>
      </c>
      <c r="B137" s="13">
        <v>1.116100005E9</v>
      </c>
      <c r="C137" s="13" t="s">
        <v>298</v>
      </c>
      <c r="D137" s="13" t="s">
        <v>289</v>
      </c>
      <c r="G137" s="13" t="b">
        <v>0</v>
      </c>
    </row>
    <row r="138" ht="15.75" customHeight="1">
      <c r="A138" s="13">
        <v>1.116100006E9</v>
      </c>
      <c r="B138" s="13">
        <v>1.116100006E9</v>
      </c>
      <c r="C138" s="13" t="s">
        <v>299</v>
      </c>
      <c r="D138" s="13" t="s">
        <v>289</v>
      </c>
      <c r="G138" s="13" t="b">
        <v>0</v>
      </c>
    </row>
    <row r="139" ht="15.75" customHeight="1">
      <c r="A139" s="13">
        <v>1.116100007E9</v>
      </c>
      <c r="B139" s="13">
        <v>1.116100007E9</v>
      </c>
      <c r="C139" s="13" t="s">
        <v>300</v>
      </c>
      <c r="D139" s="13" t="s">
        <v>289</v>
      </c>
      <c r="G139" s="13" t="b">
        <v>0</v>
      </c>
    </row>
    <row r="140" ht="15.75" customHeight="1">
      <c r="A140" s="13">
        <v>1.116100008E9</v>
      </c>
      <c r="B140" s="13">
        <v>1.116100008E9</v>
      </c>
      <c r="C140" s="13" t="s">
        <v>301</v>
      </c>
      <c r="D140" s="13" t="s">
        <v>289</v>
      </c>
      <c r="G140" s="13" t="b">
        <v>0</v>
      </c>
    </row>
    <row r="141" ht="15.75" customHeight="1">
      <c r="A141" s="13">
        <v>1.116100009E9</v>
      </c>
      <c r="B141" s="13">
        <v>1.116100009E9</v>
      </c>
      <c r="C141" s="13" t="s">
        <v>302</v>
      </c>
      <c r="D141" s="13" t="s">
        <v>289</v>
      </c>
      <c r="G141" s="13" t="b">
        <v>1</v>
      </c>
    </row>
    <row r="142" ht="15.75" customHeight="1">
      <c r="A142" s="13">
        <v>1.11610001E9</v>
      </c>
      <c r="B142" s="13">
        <v>1.11610001E9</v>
      </c>
      <c r="C142" s="13" t="s">
        <v>303</v>
      </c>
      <c r="D142" s="13" t="s">
        <v>289</v>
      </c>
      <c r="G142" s="13" t="b">
        <v>0</v>
      </c>
    </row>
    <row r="143" ht="15.75" customHeight="1">
      <c r="A143" s="13">
        <v>1.116200001E9</v>
      </c>
      <c r="B143" s="13">
        <v>1.116200001E9</v>
      </c>
      <c r="C143" s="13" t="s">
        <v>304</v>
      </c>
      <c r="D143" s="13" t="s">
        <v>289</v>
      </c>
      <c r="G143" s="13" t="b">
        <v>0</v>
      </c>
    </row>
    <row r="144" ht="15.75" customHeight="1">
      <c r="A144" s="13">
        <v>1.117100001E9</v>
      </c>
      <c r="B144" s="13">
        <v>1.117100001E9</v>
      </c>
      <c r="C144" s="13" t="s">
        <v>305</v>
      </c>
      <c r="D144" s="13" t="s">
        <v>306</v>
      </c>
      <c r="G144" s="13" t="b">
        <v>0</v>
      </c>
    </row>
    <row r="145" ht="15.75" customHeight="1">
      <c r="A145" s="13">
        <v>1.117100002E9</v>
      </c>
      <c r="B145" s="13">
        <v>1.117100002E9</v>
      </c>
      <c r="C145" s="13" t="s">
        <v>307</v>
      </c>
      <c r="D145" s="13" t="s">
        <v>306</v>
      </c>
      <c r="G145" s="13" t="b">
        <v>0</v>
      </c>
    </row>
    <row r="146" ht="15.75" customHeight="1">
      <c r="A146" s="13">
        <v>1.117100003E9</v>
      </c>
      <c r="B146" s="13">
        <v>1.117100003E9</v>
      </c>
      <c r="C146" s="13" t="s">
        <v>308</v>
      </c>
      <c r="D146" s="13" t="s">
        <v>306</v>
      </c>
      <c r="G146" s="13" t="b">
        <v>0</v>
      </c>
    </row>
    <row r="147" ht="15.75" customHeight="1">
      <c r="A147" s="13">
        <v>1.117100004E9</v>
      </c>
      <c r="B147" s="13">
        <v>1.117100004E9</v>
      </c>
      <c r="C147" s="13" t="s">
        <v>309</v>
      </c>
      <c r="D147" s="13" t="s">
        <v>306</v>
      </c>
      <c r="G147" s="13" t="b">
        <v>0</v>
      </c>
    </row>
    <row r="148" ht="15.75" customHeight="1">
      <c r="A148" s="13">
        <v>1.117200001E9</v>
      </c>
      <c r="B148" s="13">
        <v>1.117200001E9</v>
      </c>
      <c r="C148" s="13" t="s">
        <v>310</v>
      </c>
      <c r="D148" s="13" t="s">
        <v>306</v>
      </c>
      <c r="G148" s="13" t="b">
        <v>0</v>
      </c>
    </row>
    <row r="149" ht="15.75" customHeight="1">
      <c r="A149" s="13">
        <v>1.117200002E9</v>
      </c>
      <c r="B149" s="13">
        <v>1.117200002E9</v>
      </c>
      <c r="C149" s="13" t="s">
        <v>311</v>
      </c>
      <c r="D149" s="13" t="s">
        <v>306</v>
      </c>
      <c r="G149" s="13" t="b">
        <v>0</v>
      </c>
    </row>
    <row r="150" ht="15.75" customHeight="1">
      <c r="A150" s="13">
        <v>1.117300001E9</v>
      </c>
      <c r="B150" s="13">
        <v>1.117300001E9</v>
      </c>
      <c r="C150" s="13" t="s">
        <v>312</v>
      </c>
      <c r="D150" s="13" t="s">
        <v>306</v>
      </c>
      <c r="G150" s="13" t="b">
        <v>0</v>
      </c>
    </row>
    <row r="151" ht="15.75" customHeight="1">
      <c r="A151" s="13">
        <v>1.117400001E9</v>
      </c>
      <c r="B151" s="13">
        <v>1.117400001E9</v>
      </c>
      <c r="C151" s="13" t="s">
        <v>313</v>
      </c>
      <c r="D151" s="13" t="s">
        <v>306</v>
      </c>
      <c r="G151" s="13" t="b">
        <v>0</v>
      </c>
    </row>
    <row r="152" ht="15.75" customHeight="1">
      <c r="A152" s="13">
        <v>1.118000001E9</v>
      </c>
      <c r="B152" s="13">
        <v>1.118000001E9</v>
      </c>
      <c r="C152" s="13" t="s">
        <v>314</v>
      </c>
      <c r="D152" s="13" t="s">
        <v>306</v>
      </c>
      <c r="G152" s="13" t="b">
        <v>0</v>
      </c>
    </row>
    <row r="153" ht="15.75" customHeight="1">
      <c r="A153" s="13">
        <v>1.201000001E9</v>
      </c>
      <c r="B153" s="13">
        <v>1.201000001E9</v>
      </c>
      <c r="C153" s="13" t="s">
        <v>315</v>
      </c>
      <c r="D153" s="13" t="s">
        <v>316</v>
      </c>
      <c r="G153" s="13" t="b">
        <v>0</v>
      </c>
    </row>
    <row r="154" ht="15.75" customHeight="1">
      <c r="A154" s="13">
        <v>1.201000002E9</v>
      </c>
      <c r="B154" s="13">
        <v>1.201000002E9</v>
      </c>
      <c r="C154" s="13" t="s">
        <v>317</v>
      </c>
      <c r="D154" s="13" t="s">
        <v>316</v>
      </c>
      <c r="G154" s="13" t="b">
        <v>0</v>
      </c>
    </row>
    <row r="155" ht="15.75" customHeight="1">
      <c r="A155" s="13">
        <v>1.201000003E9</v>
      </c>
      <c r="B155" s="13">
        <v>1.201000003E9</v>
      </c>
      <c r="C155" s="13" t="s">
        <v>318</v>
      </c>
      <c r="D155" s="13" t="s">
        <v>316</v>
      </c>
      <c r="G155" s="13" t="b">
        <v>0</v>
      </c>
    </row>
    <row r="156" ht="15.75" customHeight="1">
      <c r="A156" s="13">
        <v>1.201000004E9</v>
      </c>
      <c r="B156" s="13">
        <v>1.201000004E9</v>
      </c>
      <c r="C156" s="13" t="s">
        <v>319</v>
      </c>
      <c r="D156" s="13" t="s">
        <v>316</v>
      </c>
      <c r="G156" s="13" t="b">
        <v>0</v>
      </c>
    </row>
    <row r="157" ht="15.75" customHeight="1">
      <c r="A157" s="13">
        <v>1.201000005E9</v>
      </c>
      <c r="B157" s="13">
        <v>1.201000005E9</v>
      </c>
      <c r="C157" s="13" t="s">
        <v>320</v>
      </c>
      <c r="D157" s="13" t="s">
        <v>316</v>
      </c>
      <c r="G157" s="13" t="b">
        <v>0</v>
      </c>
    </row>
    <row r="158" ht="15.75" customHeight="1">
      <c r="A158" s="13">
        <v>1.201000006E9</v>
      </c>
      <c r="B158" s="13">
        <v>1.201000006E9</v>
      </c>
      <c r="C158" s="13" t="s">
        <v>321</v>
      </c>
      <c r="D158" s="13" t="s">
        <v>316</v>
      </c>
      <c r="G158" s="13" t="b">
        <v>0</v>
      </c>
    </row>
    <row r="159" ht="15.75" customHeight="1">
      <c r="A159" s="13">
        <v>1.201000007E9</v>
      </c>
      <c r="B159" s="13">
        <v>1.201000007E9</v>
      </c>
      <c r="C159" s="13" t="s">
        <v>322</v>
      </c>
      <c r="D159" s="13" t="s">
        <v>316</v>
      </c>
      <c r="G159" s="13" t="b">
        <v>0</v>
      </c>
    </row>
    <row r="160" ht="15.75" customHeight="1">
      <c r="A160" s="13">
        <v>1.201000008E9</v>
      </c>
      <c r="B160" s="13">
        <v>1.201000008E9</v>
      </c>
      <c r="C160" s="13" t="s">
        <v>323</v>
      </c>
      <c r="D160" s="13" t="s">
        <v>316</v>
      </c>
      <c r="G160" s="13" t="b">
        <v>0</v>
      </c>
    </row>
    <row r="161" ht="15.75" customHeight="1">
      <c r="A161" s="13">
        <v>1.201000009E9</v>
      </c>
      <c r="B161" s="13">
        <v>1.201000009E9</v>
      </c>
      <c r="C161" s="13" t="s">
        <v>324</v>
      </c>
      <c r="D161" s="13" t="s">
        <v>316</v>
      </c>
      <c r="G161" s="13" t="b">
        <v>0</v>
      </c>
    </row>
    <row r="162" ht="15.75" customHeight="1">
      <c r="A162" s="13">
        <v>1.20100001E9</v>
      </c>
      <c r="B162" s="13">
        <v>1.20100001E9</v>
      </c>
      <c r="C162" s="13" t="s">
        <v>325</v>
      </c>
      <c r="D162" s="13" t="s">
        <v>316</v>
      </c>
      <c r="G162" s="13" t="b">
        <v>0</v>
      </c>
    </row>
    <row r="163" ht="15.75" customHeight="1">
      <c r="A163" s="13">
        <v>1.202E9</v>
      </c>
      <c r="B163" s="13">
        <v>1.202E9</v>
      </c>
      <c r="C163" s="13" t="s">
        <v>326</v>
      </c>
      <c r="D163" s="13" t="s">
        <v>316</v>
      </c>
      <c r="G163" s="13" t="b">
        <v>0</v>
      </c>
    </row>
    <row r="164" ht="15.75" customHeight="1">
      <c r="A164" s="13">
        <v>1.203001E9</v>
      </c>
      <c r="B164" s="13">
        <v>1.203001E9</v>
      </c>
      <c r="C164" s="13" t="s">
        <v>327</v>
      </c>
      <c r="D164" s="13" t="s">
        <v>316</v>
      </c>
      <c r="G164" s="13" t="b">
        <v>0</v>
      </c>
    </row>
    <row r="165" ht="15.75" customHeight="1">
      <c r="A165" s="13">
        <v>1.203002E9</v>
      </c>
      <c r="B165" s="13">
        <v>1.203002E9</v>
      </c>
      <c r="C165" s="13" t="s">
        <v>328</v>
      </c>
      <c r="D165" s="13" t="s">
        <v>316</v>
      </c>
      <c r="G165" s="13" t="b">
        <v>0</v>
      </c>
    </row>
    <row r="166" ht="15.75" customHeight="1">
      <c r="A166" s="13">
        <v>1.203009E9</v>
      </c>
      <c r="B166" s="13">
        <v>1.203009E9</v>
      </c>
      <c r="C166" s="13" t="s">
        <v>329</v>
      </c>
      <c r="D166" s="13" t="s">
        <v>316</v>
      </c>
      <c r="G166" s="13" t="b">
        <v>0</v>
      </c>
    </row>
    <row r="167" ht="15.75" customHeight="1">
      <c r="A167" s="13">
        <v>1.205101E9</v>
      </c>
      <c r="B167" s="13">
        <v>1.205101E9</v>
      </c>
      <c r="C167" s="13" t="s">
        <v>330</v>
      </c>
      <c r="D167" s="13" t="s">
        <v>331</v>
      </c>
      <c r="G167" s="13" t="b">
        <v>1</v>
      </c>
    </row>
    <row r="168" ht="15.75" customHeight="1">
      <c r="A168" s="13">
        <v>1.205102E9</v>
      </c>
      <c r="B168" s="13">
        <v>1.205102E9</v>
      </c>
      <c r="C168" s="13" t="s">
        <v>332</v>
      </c>
      <c r="D168" s="13" t="s">
        <v>331</v>
      </c>
      <c r="G168" s="13" t="b">
        <v>1</v>
      </c>
    </row>
    <row r="169" ht="15.75" customHeight="1">
      <c r="A169" s="13">
        <v>1.205103E9</v>
      </c>
      <c r="B169" s="13">
        <v>1.205103E9</v>
      </c>
      <c r="C169" s="13" t="s">
        <v>333</v>
      </c>
      <c r="D169" s="13" t="s">
        <v>331</v>
      </c>
      <c r="G169" s="13" t="b">
        <v>1</v>
      </c>
    </row>
    <row r="170" ht="15.75" customHeight="1">
      <c r="A170" s="13">
        <v>1.205104E9</v>
      </c>
      <c r="B170" s="13">
        <v>1.205104E9</v>
      </c>
      <c r="C170" s="13" t="s">
        <v>334</v>
      </c>
      <c r="D170" s="13" t="s">
        <v>331</v>
      </c>
      <c r="G170" s="13" t="b">
        <v>1</v>
      </c>
    </row>
    <row r="171" ht="15.75" customHeight="1">
      <c r="A171" s="13">
        <v>1.205105E9</v>
      </c>
      <c r="B171" s="13">
        <v>1.205105E9</v>
      </c>
      <c r="C171" s="13" t="s">
        <v>335</v>
      </c>
      <c r="D171" s="13" t="s">
        <v>331</v>
      </c>
      <c r="G171" s="13" t="b">
        <v>1</v>
      </c>
    </row>
    <row r="172" ht="15.75" customHeight="1">
      <c r="A172" s="13">
        <v>1.205106E9</v>
      </c>
      <c r="B172" s="13">
        <v>1.205106E9</v>
      </c>
      <c r="C172" s="13" t="s">
        <v>336</v>
      </c>
      <c r="D172" s="13" t="s">
        <v>331</v>
      </c>
      <c r="G172" s="13" t="b">
        <v>1</v>
      </c>
    </row>
    <row r="173" ht="15.75" customHeight="1">
      <c r="A173" s="13">
        <v>1.205201E9</v>
      </c>
      <c r="B173" s="13">
        <v>1.205201E9</v>
      </c>
      <c r="C173" s="13" t="s">
        <v>337</v>
      </c>
      <c r="D173" s="13" t="s">
        <v>331</v>
      </c>
      <c r="G173" s="13" t="b">
        <v>1</v>
      </c>
    </row>
    <row r="174" ht="15.75" customHeight="1">
      <c r="A174" s="13">
        <v>1.205202E9</v>
      </c>
      <c r="B174" s="13">
        <v>1.205202E9</v>
      </c>
      <c r="C174" s="13" t="s">
        <v>338</v>
      </c>
      <c r="D174" s="13" t="s">
        <v>331</v>
      </c>
      <c r="G174" s="13" t="b">
        <v>1</v>
      </c>
    </row>
    <row r="175" ht="15.75" customHeight="1">
      <c r="A175" s="13">
        <v>1.205203E9</v>
      </c>
      <c r="B175" s="13">
        <v>1.205203E9</v>
      </c>
      <c r="C175" s="13" t="s">
        <v>339</v>
      </c>
      <c r="D175" s="13" t="s">
        <v>331</v>
      </c>
      <c r="G175" s="13" t="b">
        <v>1</v>
      </c>
    </row>
    <row r="176" ht="15.75" customHeight="1">
      <c r="A176" s="13">
        <v>1.205204E9</v>
      </c>
      <c r="B176" s="13">
        <v>1.205204E9</v>
      </c>
      <c r="C176" s="13" t="s">
        <v>340</v>
      </c>
      <c r="D176" s="13" t="s">
        <v>331</v>
      </c>
      <c r="G176" s="13" t="b">
        <v>1</v>
      </c>
    </row>
    <row r="177" ht="15.75" customHeight="1">
      <c r="A177" s="13">
        <v>1.205205E9</v>
      </c>
      <c r="B177" s="13">
        <v>1.205205E9</v>
      </c>
      <c r="C177" s="13" t="s">
        <v>341</v>
      </c>
      <c r="D177" s="13" t="s">
        <v>331</v>
      </c>
      <c r="G177" s="13" t="b">
        <v>1</v>
      </c>
    </row>
    <row r="178" ht="15.75" customHeight="1">
      <c r="A178" s="13">
        <v>1.205601E9</v>
      </c>
      <c r="B178" s="13">
        <v>1.205601E9</v>
      </c>
      <c r="C178" s="13" t="s">
        <v>342</v>
      </c>
      <c r="D178" s="13" t="s">
        <v>331</v>
      </c>
      <c r="G178" s="13" t="b">
        <v>1</v>
      </c>
    </row>
    <row r="179" ht="15.75" customHeight="1">
      <c r="A179" s="13">
        <v>1.205602E9</v>
      </c>
      <c r="B179" s="13">
        <v>1.205602E9</v>
      </c>
      <c r="C179" s="13" t="s">
        <v>343</v>
      </c>
      <c r="D179" s="13" t="s">
        <v>331</v>
      </c>
      <c r="G179" s="13" t="b">
        <v>1</v>
      </c>
    </row>
    <row r="180" ht="15.75" customHeight="1">
      <c r="A180" s="13">
        <v>1.205800001E9</v>
      </c>
      <c r="B180" s="13">
        <v>1.205800001E9</v>
      </c>
      <c r="C180" s="13" t="s">
        <v>344</v>
      </c>
      <c r="D180" s="13" t="s">
        <v>331</v>
      </c>
      <c r="G180" s="13" t="b">
        <v>1</v>
      </c>
    </row>
    <row r="181" ht="15.75" customHeight="1">
      <c r="A181" s="13">
        <v>1.205800002E9</v>
      </c>
      <c r="B181" s="13">
        <v>1.205800002E9</v>
      </c>
      <c r="C181" s="13" t="s">
        <v>345</v>
      </c>
      <c r="D181" s="13" t="s">
        <v>331</v>
      </c>
      <c r="G181" s="13" t="b">
        <v>1</v>
      </c>
    </row>
    <row r="182" ht="15.75" customHeight="1">
      <c r="A182" s="13">
        <v>1.205800003E9</v>
      </c>
      <c r="B182" s="13">
        <v>1.205800003E9</v>
      </c>
      <c r="C182" s="13" t="s">
        <v>346</v>
      </c>
      <c r="D182" s="13" t="s">
        <v>331</v>
      </c>
      <c r="G182" s="13" t="b">
        <v>1</v>
      </c>
    </row>
    <row r="183" ht="15.75" customHeight="1">
      <c r="A183" s="13">
        <v>1.205800004E9</v>
      </c>
      <c r="B183" s="13">
        <v>1.205800004E9</v>
      </c>
      <c r="C183" s="13" t="s">
        <v>347</v>
      </c>
      <c r="D183" s="13" t="s">
        <v>331</v>
      </c>
      <c r="G183" s="13" t="b">
        <v>1</v>
      </c>
    </row>
    <row r="184" ht="15.75" customHeight="1">
      <c r="A184" s="13">
        <v>1.205800005E9</v>
      </c>
      <c r="B184" s="13">
        <v>1.205800005E9</v>
      </c>
      <c r="C184" s="13" t="s">
        <v>348</v>
      </c>
      <c r="D184" s="13" t="s">
        <v>331</v>
      </c>
      <c r="G184" s="13" t="b">
        <v>1</v>
      </c>
    </row>
    <row r="185" ht="15.75" customHeight="1">
      <c r="A185" s="13">
        <v>1.205800006E9</v>
      </c>
      <c r="B185" s="13">
        <v>1.205800006E9</v>
      </c>
      <c r="C185" s="13" t="s">
        <v>349</v>
      </c>
      <c r="D185" s="13" t="s">
        <v>331</v>
      </c>
      <c r="G185" s="13" t="b">
        <v>1</v>
      </c>
    </row>
    <row r="186" ht="15.75" customHeight="1">
      <c r="A186" s="13">
        <v>1.205800009E9</v>
      </c>
      <c r="B186" s="13">
        <v>1.205800009E9</v>
      </c>
      <c r="C186" s="13" t="s">
        <v>350</v>
      </c>
      <c r="D186" s="13" t="s">
        <v>331</v>
      </c>
      <c r="G186" s="13" t="b">
        <v>1</v>
      </c>
    </row>
    <row r="187" ht="15.75" customHeight="1">
      <c r="A187" s="13">
        <v>1.20580001E9</v>
      </c>
      <c r="B187" s="13">
        <v>1.20580001E9</v>
      </c>
      <c r="C187" s="13" t="s">
        <v>351</v>
      </c>
      <c r="D187" s="13" t="s">
        <v>331</v>
      </c>
      <c r="G187" s="13" t="b">
        <v>1</v>
      </c>
    </row>
    <row r="188" ht="15.75" customHeight="1">
      <c r="A188" s="13">
        <v>1.2059E9</v>
      </c>
      <c r="B188" s="13">
        <v>1.2059E9</v>
      </c>
      <c r="C188" s="13" t="s">
        <v>352</v>
      </c>
      <c r="D188" s="13" t="s">
        <v>331</v>
      </c>
      <c r="G188" s="13" t="b">
        <v>1</v>
      </c>
    </row>
    <row r="189" ht="15.75" customHeight="1">
      <c r="A189" s="13">
        <v>1.206102E9</v>
      </c>
      <c r="B189" s="13">
        <v>1.206102E9</v>
      </c>
      <c r="C189" s="13" t="s">
        <v>353</v>
      </c>
      <c r="D189" s="13" t="s">
        <v>331</v>
      </c>
      <c r="G189" s="13" t="b">
        <v>1</v>
      </c>
    </row>
    <row r="190" ht="15.75" customHeight="1">
      <c r="A190" s="13">
        <v>1.206201E9</v>
      </c>
      <c r="B190" s="13">
        <v>1.206201E9</v>
      </c>
      <c r="C190" s="13" t="s">
        <v>354</v>
      </c>
      <c r="D190" s="13" t="s">
        <v>331</v>
      </c>
      <c r="G190" s="13" t="b">
        <v>1</v>
      </c>
    </row>
    <row r="191" ht="15.75" customHeight="1">
      <c r="A191" s="13">
        <v>1.2072E9</v>
      </c>
      <c r="B191" s="13">
        <v>1.2072E9</v>
      </c>
      <c r="C191" s="13" t="s">
        <v>355</v>
      </c>
      <c r="D191" s="13" t="s">
        <v>331</v>
      </c>
      <c r="G191" s="13" t="b">
        <v>1</v>
      </c>
    </row>
    <row r="192" ht="15.75" customHeight="1">
      <c r="A192" s="13">
        <v>1.2073E9</v>
      </c>
      <c r="B192" s="13">
        <v>1.2073E9</v>
      </c>
      <c r="C192" s="13" t="s">
        <v>356</v>
      </c>
      <c r="D192" s="13" t="s">
        <v>331</v>
      </c>
      <c r="G192" s="13" t="b">
        <v>1</v>
      </c>
    </row>
    <row r="193" ht="15.75" customHeight="1">
      <c r="A193" s="13">
        <v>1.2079E9</v>
      </c>
      <c r="B193" s="13">
        <v>1.2079E9</v>
      </c>
      <c r="C193" s="13" t="s">
        <v>357</v>
      </c>
      <c r="D193" s="13" t="s">
        <v>331</v>
      </c>
      <c r="G193" s="13" t="b">
        <v>1</v>
      </c>
    </row>
    <row r="194" ht="15.75" customHeight="1">
      <c r="A194" s="13">
        <v>1.207900009E9</v>
      </c>
      <c r="B194" s="13">
        <v>1.207900009E9</v>
      </c>
      <c r="C194" s="13" t="s">
        <v>358</v>
      </c>
      <c r="D194" s="13" t="s">
        <v>331</v>
      </c>
      <c r="G194" s="13" t="b">
        <v>1</v>
      </c>
    </row>
    <row r="195" ht="15.75" customHeight="1">
      <c r="A195" s="13">
        <v>1.2081E9</v>
      </c>
      <c r="B195" s="13">
        <v>1.2081E9</v>
      </c>
      <c r="C195" s="13" t="s">
        <v>359</v>
      </c>
      <c r="D195" s="13" t="s">
        <v>331</v>
      </c>
      <c r="G195" s="13" t="b">
        <v>1</v>
      </c>
    </row>
    <row r="196" ht="15.75" customHeight="1">
      <c r="A196" s="13">
        <v>1.2086E9</v>
      </c>
      <c r="B196" s="13">
        <v>1.2086E9</v>
      </c>
      <c r="C196" s="13" t="s">
        <v>360</v>
      </c>
      <c r="D196" s="13" t="s">
        <v>331</v>
      </c>
      <c r="G196" s="13" t="b">
        <v>1</v>
      </c>
    </row>
    <row r="197" ht="15.75" customHeight="1">
      <c r="A197" s="13">
        <v>1.2089E9</v>
      </c>
      <c r="B197" s="13">
        <v>1.2089E9</v>
      </c>
      <c r="C197" s="13" t="s">
        <v>361</v>
      </c>
      <c r="D197" s="13" t="s">
        <v>331</v>
      </c>
      <c r="G197" s="13" t="b">
        <v>1</v>
      </c>
    </row>
    <row r="198" ht="15.75" customHeight="1">
      <c r="A198" s="13">
        <v>1.208900099E9</v>
      </c>
      <c r="B198" s="13">
        <v>1.208900099E9</v>
      </c>
      <c r="C198" s="13" t="s">
        <v>362</v>
      </c>
      <c r="D198" s="13" t="s">
        <v>331</v>
      </c>
      <c r="G198" s="13" t="b">
        <v>1</v>
      </c>
    </row>
    <row r="199" ht="15.75" customHeight="1">
      <c r="A199" s="13">
        <v>1.210000001E9</v>
      </c>
      <c r="B199" s="13">
        <v>1.210000001E9</v>
      </c>
      <c r="C199" s="13" t="s">
        <v>363</v>
      </c>
      <c r="D199" s="13" t="s">
        <v>316</v>
      </c>
      <c r="G199" s="13" t="b">
        <v>0</v>
      </c>
    </row>
    <row r="200" ht="15.75" customHeight="1">
      <c r="A200" s="13">
        <v>1.211100001E9</v>
      </c>
      <c r="B200" s="13">
        <v>1.211100001E9</v>
      </c>
      <c r="C200" s="13" t="s">
        <v>364</v>
      </c>
      <c r="D200" s="13" t="s">
        <v>316</v>
      </c>
      <c r="G200" s="13" t="b">
        <v>1</v>
      </c>
    </row>
    <row r="201" ht="15.75" customHeight="1">
      <c r="A201" s="13">
        <v>1.211100002E9</v>
      </c>
      <c r="B201" s="13">
        <v>1.211100002E9</v>
      </c>
      <c r="C201" s="13" t="s">
        <v>365</v>
      </c>
      <c r="D201" s="13" t="s">
        <v>316</v>
      </c>
      <c r="G201" s="13" t="b">
        <v>1</v>
      </c>
    </row>
    <row r="202" ht="15.75" customHeight="1">
      <c r="A202" s="13">
        <v>1.211100003E9</v>
      </c>
      <c r="B202" s="13">
        <v>1.211100003E9</v>
      </c>
      <c r="C202" s="13" t="s">
        <v>366</v>
      </c>
      <c r="D202" s="13" t="s">
        <v>316</v>
      </c>
      <c r="G202" s="13" t="b">
        <v>1</v>
      </c>
    </row>
    <row r="203" ht="15.75" customHeight="1">
      <c r="A203" s="13">
        <v>1.211100004E9</v>
      </c>
      <c r="B203" s="13">
        <v>1.211100004E9</v>
      </c>
      <c r="C203" s="13" t="s">
        <v>367</v>
      </c>
      <c r="D203" s="13" t="s">
        <v>316</v>
      </c>
      <c r="G203" s="13" t="b">
        <v>1</v>
      </c>
    </row>
    <row r="204" ht="15.75" customHeight="1">
      <c r="A204" s="13">
        <v>1.211100005E9</v>
      </c>
      <c r="B204" s="13">
        <v>1.211100005E9</v>
      </c>
      <c r="C204" s="13" t="s">
        <v>368</v>
      </c>
      <c r="D204" s="13" t="s">
        <v>316</v>
      </c>
      <c r="G204" s="13" t="b">
        <v>1</v>
      </c>
    </row>
    <row r="205" ht="15.75" customHeight="1">
      <c r="A205" s="13">
        <v>1.211100006E9</v>
      </c>
      <c r="B205" s="13">
        <v>1.211100006E9</v>
      </c>
      <c r="C205" s="13" t="s">
        <v>369</v>
      </c>
      <c r="D205" s="13" t="s">
        <v>316</v>
      </c>
      <c r="G205" s="13" t="b">
        <v>1</v>
      </c>
    </row>
    <row r="206" ht="15.75" customHeight="1">
      <c r="A206" s="13">
        <v>1.211100007E9</v>
      </c>
      <c r="B206" s="13">
        <v>1.211100007E9</v>
      </c>
      <c r="C206" s="13" t="s">
        <v>370</v>
      </c>
      <c r="D206" s="13" t="s">
        <v>316</v>
      </c>
      <c r="G206" s="13" t="b">
        <v>1</v>
      </c>
    </row>
    <row r="207" ht="15.75" customHeight="1">
      <c r="A207" s="13">
        <v>1.211100008E9</v>
      </c>
      <c r="B207" s="13">
        <v>1.211100008E9</v>
      </c>
      <c r="C207" s="13" t="s">
        <v>371</v>
      </c>
      <c r="D207" s="13" t="s">
        <v>316</v>
      </c>
      <c r="G207" s="13" t="b">
        <v>1</v>
      </c>
    </row>
    <row r="208" ht="15.75" customHeight="1">
      <c r="A208" s="13">
        <v>1.211100009E9</v>
      </c>
      <c r="B208" s="13">
        <v>1.211100009E9</v>
      </c>
      <c r="C208" s="13" t="s">
        <v>372</v>
      </c>
      <c r="D208" s="13" t="s">
        <v>316</v>
      </c>
      <c r="G208" s="13" t="b">
        <v>1</v>
      </c>
    </row>
    <row r="209" ht="15.75" customHeight="1">
      <c r="A209" s="13">
        <v>1.211100071E9</v>
      </c>
      <c r="B209" s="13">
        <v>1.211100071E9</v>
      </c>
      <c r="C209" s="13" t="s">
        <v>373</v>
      </c>
      <c r="D209" s="13" t="s">
        <v>316</v>
      </c>
      <c r="G209" s="13" t="b">
        <v>0</v>
      </c>
    </row>
    <row r="210" ht="15.75" customHeight="1">
      <c r="A210" s="13">
        <v>1.211100072E9</v>
      </c>
      <c r="B210" s="13">
        <v>1.211100072E9</v>
      </c>
      <c r="C210" s="13" t="s">
        <v>374</v>
      </c>
      <c r="D210" s="13" t="s">
        <v>316</v>
      </c>
      <c r="G210" s="13" t="b">
        <v>0</v>
      </c>
    </row>
    <row r="211" ht="15.75" customHeight="1">
      <c r="A211" s="13">
        <v>1.211100073E9</v>
      </c>
      <c r="B211" s="13">
        <v>1.211100073E9</v>
      </c>
      <c r="C211" s="13" t="s">
        <v>375</v>
      </c>
      <c r="D211" s="13" t="s">
        <v>316</v>
      </c>
      <c r="G211" s="13" t="b">
        <v>0</v>
      </c>
    </row>
    <row r="212" ht="15.75" customHeight="1">
      <c r="A212" s="13">
        <v>1.211100074E9</v>
      </c>
      <c r="B212" s="13">
        <v>1.211100074E9</v>
      </c>
      <c r="C212" s="13" t="s">
        <v>376</v>
      </c>
      <c r="D212" s="13" t="s">
        <v>316</v>
      </c>
      <c r="G212" s="13" t="b">
        <v>0</v>
      </c>
    </row>
    <row r="213" ht="15.75" customHeight="1">
      <c r="A213" s="13">
        <v>1.211100075E9</v>
      </c>
      <c r="B213" s="13">
        <v>1.211100075E9</v>
      </c>
      <c r="C213" s="13" t="s">
        <v>377</v>
      </c>
      <c r="D213" s="13" t="s">
        <v>316</v>
      </c>
      <c r="G213" s="13" t="b">
        <v>0</v>
      </c>
    </row>
    <row r="214" ht="15.75" customHeight="1">
      <c r="A214" s="13">
        <v>1.211100076E9</v>
      </c>
      <c r="B214" s="13">
        <v>1.211100076E9</v>
      </c>
      <c r="C214" s="13" t="s">
        <v>378</v>
      </c>
      <c r="D214" s="13" t="s">
        <v>316</v>
      </c>
      <c r="G214" s="13" t="b">
        <v>0</v>
      </c>
    </row>
    <row r="215" ht="15.75" customHeight="1">
      <c r="A215" s="13">
        <v>1.211100077E9</v>
      </c>
      <c r="B215" s="13">
        <v>1.211100077E9</v>
      </c>
      <c r="C215" s="13" t="s">
        <v>379</v>
      </c>
      <c r="D215" s="13" t="s">
        <v>316</v>
      </c>
      <c r="G215" s="13" t="b">
        <v>0</v>
      </c>
    </row>
    <row r="216" ht="15.75" customHeight="1">
      <c r="A216" s="13">
        <v>1.211100078E9</v>
      </c>
      <c r="B216" s="13">
        <v>1.211100078E9</v>
      </c>
      <c r="C216" s="13" t="s">
        <v>380</v>
      </c>
      <c r="D216" s="13" t="s">
        <v>316</v>
      </c>
      <c r="G216" s="13" t="b">
        <v>0</v>
      </c>
    </row>
    <row r="217" ht="15.75" customHeight="1">
      <c r="A217" s="13">
        <v>1.211100099E9</v>
      </c>
      <c r="B217" s="13">
        <v>1.211100099E9</v>
      </c>
      <c r="C217" s="13" t="s">
        <v>381</v>
      </c>
      <c r="D217" s="13" t="s">
        <v>316</v>
      </c>
      <c r="G217" s="13" t="b">
        <v>0</v>
      </c>
    </row>
    <row r="218" ht="15.75" customHeight="1">
      <c r="A218" s="13">
        <v>1.212200003E9</v>
      </c>
      <c r="B218" s="13">
        <v>1.212200003E9</v>
      </c>
      <c r="C218" s="13" t="s">
        <v>382</v>
      </c>
      <c r="D218" s="13" t="s">
        <v>316</v>
      </c>
      <c r="G218" s="13" t="b">
        <v>0</v>
      </c>
    </row>
    <row r="219" ht="15.75" customHeight="1">
      <c r="A219" s="13">
        <v>1.212200004E9</v>
      </c>
      <c r="B219" s="13">
        <v>1.212200004E9</v>
      </c>
      <c r="C219" s="13" t="s">
        <v>383</v>
      </c>
      <c r="D219" s="13" t="s">
        <v>316</v>
      </c>
      <c r="G219" s="13" t="b">
        <v>0</v>
      </c>
    </row>
    <row r="220" ht="15.75" customHeight="1">
      <c r="A220" s="13">
        <v>1.212200009E9</v>
      </c>
      <c r="B220" s="13">
        <v>1.212200009E9</v>
      </c>
      <c r="C220" s="13" t="s">
        <v>384</v>
      </c>
      <c r="D220" s="13" t="s">
        <v>316</v>
      </c>
      <c r="G220" s="13" t="b">
        <v>0</v>
      </c>
    </row>
    <row r="221" ht="15.75" customHeight="1">
      <c r="A221" s="13">
        <v>2.101101E9</v>
      </c>
      <c r="B221" s="13">
        <v>2.101101E9</v>
      </c>
      <c r="C221" s="13" t="s">
        <v>385</v>
      </c>
      <c r="D221" s="13" t="s">
        <v>386</v>
      </c>
      <c r="G221" s="13" t="b">
        <v>0</v>
      </c>
    </row>
    <row r="222" ht="15.75" customHeight="1">
      <c r="A222" s="13">
        <v>2.101201E9</v>
      </c>
      <c r="B222" s="13">
        <v>2.101201E9</v>
      </c>
      <c r="C222" s="13" t="s">
        <v>387</v>
      </c>
      <c r="D222" s="13" t="s">
        <v>386</v>
      </c>
      <c r="G222" s="13" t="b">
        <v>0</v>
      </c>
    </row>
    <row r="223" ht="15.75" customHeight="1">
      <c r="A223" s="13">
        <v>2.1021E9</v>
      </c>
      <c r="B223" s="13">
        <v>2.1021E9</v>
      </c>
      <c r="C223" s="13" t="s">
        <v>388</v>
      </c>
      <c r="D223" s="13" t="s">
        <v>386</v>
      </c>
      <c r="G223" s="13" t="b">
        <v>0</v>
      </c>
    </row>
    <row r="224" ht="15.75" customHeight="1">
      <c r="A224" s="13">
        <v>2.1022E9</v>
      </c>
      <c r="B224" s="13">
        <v>2.1022E9</v>
      </c>
      <c r="C224" s="13" t="s">
        <v>389</v>
      </c>
      <c r="D224" s="13" t="s">
        <v>386</v>
      </c>
      <c r="G224" s="13" t="b">
        <v>0</v>
      </c>
    </row>
    <row r="225" ht="15.75" customHeight="1">
      <c r="A225" s="13">
        <v>2.1023E9</v>
      </c>
      <c r="B225" s="13">
        <v>2.1023E9</v>
      </c>
      <c r="C225" s="13" t="s">
        <v>390</v>
      </c>
      <c r="D225" s="13" t="s">
        <v>386</v>
      </c>
      <c r="G225" s="13" t="b">
        <v>0</v>
      </c>
    </row>
    <row r="226" ht="15.75" customHeight="1">
      <c r="A226" s="13">
        <v>2.1024E9</v>
      </c>
      <c r="B226" s="13">
        <v>2.1024E9</v>
      </c>
      <c r="C226" s="13" t="s">
        <v>391</v>
      </c>
      <c r="D226" s="13" t="s">
        <v>386</v>
      </c>
      <c r="G226" s="13" t="b">
        <v>0</v>
      </c>
    </row>
    <row r="227" ht="15.75" customHeight="1">
      <c r="A227" s="13">
        <v>2.103100001E9</v>
      </c>
      <c r="B227" s="13">
        <v>2.103100001E9</v>
      </c>
      <c r="C227" s="13" t="s">
        <v>392</v>
      </c>
      <c r="D227" s="13" t="s">
        <v>386</v>
      </c>
      <c r="G227" s="13" t="b">
        <v>1</v>
      </c>
    </row>
    <row r="228" ht="15.75" customHeight="1">
      <c r="A228" s="13">
        <v>2.103100002E9</v>
      </c>
      <c r="B228" s="13">
        <v>2.103100002E9</v>
      </c>
      <c r="C228" s="13" t="s">
        <v>393</v>
      </c>
      <c r="D228" s="13" t="s">
        <v>386</v>
      </c>
      <c r="G228" s="13" t="b">
        <v>1</v>
      </c>
    </row>
    <row r="229" ht="15.75" customHeight="1">
      <c r="A229" s="13">
        <v>2.103100003E9</v>
      </c>
      <c r="B229" s="13">
        <v>2.103100003E9</v>
      </c>
      <c r="C229" s="13" t="s">
        <v>394</v>
      </c>
      <c r="D229" s="13" t="s">
        <v>386</v>
      </c>
      <c r="G229" s="13" t="b">
        <v>1</v>
      </c>
    </row>
    <row r="230" ht="15.75" customHeight="1">
      <c r="A230" s="13">
        <v>2.103100097E9</v>
      </c>
      <c r="B230" s="13">
        <v>2.103100097E9</v>
      </c>
      <c r="C230" s="13" t="s">
        <v>395</v>
      </c>
      <c r="D230" s="13" t="s">
        <v>386</v>
      </c>
      <c r="G230" s="13" t="b">
        <v>0</v>
      </c>
    </row>
    <row r="231" ht="15.75" customHeight="1">
      <c r="A231" s="13">
        <v>2.103100099E9</v>
      </c>
      <c r="B231" s="13">
        <v>2.103100099E9</v>
      </c>
      <c r="C231" s="13" t="s">
        <v>396</v>
      </c>
      <c r="D231" s="13" t="s">
        <v>386</v>
      </c>
      <c r="G231" s="13" t="b">
        <v>0</v>
      </c>
    </row>
    <row r="232" ht="15.75" customHeight="1">
      <c r="A232" s="13">
        <v>2.103100999E9</v>
      </c>
      <c r="B232" s="13">
        <v>2.103100999E9</v>
      </c>
      <c r="C232" s="13" t="s">
        <v>397</v>
      </c>
      <c r="D232" s="13" t="s">
        <v>386</v>
      </c>
      <c r="G232" s="13" t="b">
        <v>0</v>
      </c>
    </row>
    <row r="233" ht="15.75" customHeight="1">
      <c r="A233" s="13">
        <v>2.103109198E9</v>
      </c>
      <c r="B233" s="13">
        <v>2.103109198E9</v>
      </c>
      <c r="C233" s="13" t="s">
        <v>398</v>
      </c>
      <c r="D233" s="13" t="s">
        <v>386</v>
      </c>
      <c r="G233" s="13" t="b">
        <v>1</v>
      </c>
    </row>
    <row r="234" ht="15.75" customHeight="1">
      <c r="A234" s="13">
        <v>2.103109199E9</v>
      </c>
      <c r="B234" s="13">
        <v>2.103109199E9</v>
      </c>
      <c r="C234" s="13" t="s">
        <v>399</v>
      </c>
      <c r="D234" s="13" t="s">
        <v>386</v>
      </c>
      <c r="G234" s="13" t="b">
        <v>1</v>
      </c>
    </row>
    <row r="235" ht="15.75" customHeight="1">
      <c r="A235" s="13">
        <v>2.103109201E9</v>
      </c>
      <c r="B235" s="13">
        <v>2.103109201E9</v>
      </c>
      <c r="C235" s="13" t="s">
        <v>400</v>
      </c>
      <c r="D235" s="13" t="s">
        <v>386</v>
      </c>
      <c r="G235" s="13" t="b">
        <v>1</v>
      </c>
    </row>
    <row r="236" ht="15.75" customHeight="1">
      <c r="A236" s="13">
        <v>2.103109202E9</v>
      </c>
      <c r="B236" s="13">
        <v>2.103109202E9</v>
      </c>
      <c r="C236" s="13" t="s">
        <v>401</v>
      </c>
      <c r="D236" s="13" t="s">
        <v>386</v>
      </c>
      <c r="G236" s="13" t="b">
        <v>1</v>
      </c>
    </row>
    <row r="237" ht="15.75" customHeight="1">
      <c r="A237" s="13">
        <v>2.103109301E9</v>
      </c>
      <c r="B237" s="13">
        <v>2.103109301E9</v>
      </c>
      <c r="C237" s="13" t="s">
        <v>402</v>
      </c>
      <c r="D237" s="13" t="s">
        <v>386</v>
      </c>
      <c r="G237" s="13" t="b">
        <v>1</v>
      </c>
    </row>
    <row r="238" ht="15.75" customHeight="1">
      <c r="A238" s="13">
        <v>2.103109302E9</v>
      </c>
      <c r="B238" s="13">
        <v>2.103109302E9</v>
      </c>
      <c r="C238" s="13" t="s">
        <v>403</v>
      </c>
      <c r="D238" s="13" t="s">
        <v>386</v>
      </c>
      <c r="G238" s="13" t="b">
        <v>1</v>
      </c>
    </row>
    <row r="239" ht="15.75" customHeight="1">
      <c r="A239" s="13">
        <v>2.103109401E9</v>
      </c>
      <c r="B239" s="13">
        <v>2.103109401E9</v>
      </c>
      <c r="C239" s="13" t="s">
        <v>404</v>
      </c>
      <c r="D239" s="13" t="s">
        <v>386</v>
      </c>
      <c r="G239" s="13" t="b">
        <v>1</v>
      </c>
    </row>
    <row r="240" ht="15.75" customHeight="1">
      <c r="A240" s="13">
        <v>2.103109402E9</v>
      </c>
      <c r="B240" s="13">
        <v>2.103109402E9</v>
      </c>
      <c r="C240" s="13" t="s">
        <v>405</v>
      </c>
      <c r="D240" s="13" t="s">
        <v>386</v>
      </c>
      <c r="G240" s="13" t="b">
        <v>1</v>
      </c>
    </row>
    <row r="241" ht="15.75" customHeight="1">
      <c r="A241" s="13">
        <v>2.103109901E9</v>
      </c>
      <c r="B241" s="13">
        <v>2.103109901E9</v>
      </c>
      <c r="C241" s="13" t="s">
        <v>406</v>
      </c>
      <c r="D241" s="13" t="s">
        <v>386</v>
      </c>
      <c r="G241" s="13" t="b">
        <v>1</v>
      </c>
    </row>
    <row r="242" ht="15.75" customHeight="1">
      <c r="A242" s="13">
        <v>2.103200001E9</v>
      </c>
      <c r="B242" s="13">
        <v>2.103200001E9</v>
      </c>
      <c r="C242" s="13" t="s">
        <v>407</v>
      </c>
      <c r="D242" s="13" t="s">
        <v>386</v>
      </c>
      <c r="G242" s="13" t="b">
        <v>1</v>
      </c>
    </row>
    <row r="243" ht="15.75" customHeight="1">
      <c r="A243" s="13">
        <v>2.103200002E9</v>
      </c>
      <c r="B243" s="13">
        <v>2.103200002E9</v>
      </c>
      <c r="C243" s="13" t="s">
        <v>408</v>
      </c>
      <c r="D243" s="13" t="s">
        <v>386</v>
      </c>
      <c r="G243" s="13" t="b">
        <v>1</v>
      </c>
    </row>
    <row r="244" ht="15.75" customHeight="1">
      <c r="A244" s="13">
        <v>2.103200003E9</v>
      </c>
      <c r="B244" s="13">
        <v>2.103200003E9</v>
      </c>
      <c r="C244" s="13" t="s">
        <v>409</v>
      </c>
      <c r="D244" s="13" t="s">
        <v>386</v>
      </c>
      <c r="G244" s="13" t="b">
        <v>1</v>
      </c>
    </row>
    <row r="245" ht="15.75" customHeight="1">
      <c r="A245" s="13">
        <v>2.103200999E9</v>
      </c>
      <c r="B245" s="13">
        <v>2.103200999E9</v>
      </c>
      <c r="C245" s="13" t="s">
        <v>410</v>
      </c>
      <c r="D245" s="13" t="s">
        <v>386</v>
      </c>
      <c r="G245" s="13" t="b">
        <v>0</v>
      </c>
    </row>
    <row r="246" ht="15.75" customHeight="1">
      <c r="A246" s="13">
        <v>2.103209E9</v>
      </c>
      <c r="B246" s="13">
        <v>2.103209E9</v>
      </c>
      <c r="C246" s="13" t="s">
        <v>411</v>
      </c>
      <c r="D246" s="13" t="s">
        <v>386</v>
      </c>
      <c r="G246" s="13" t="b">
        <v>1</v>
      </c>
    </row>
    <row r="247" ht="15.75" customHeight="1">
      <c r="A247" s="13">
        <v>2.103300001E9</v>
      </c>
      <c r="B247" s="13">
        <v>2.103300001E9</v>
      </c>
      <c r="C247" s="13" t="s">
        <v>412</v>
      </c>
      <c r="D247" s="13" t="s">
        <v>386</v>
      </c>
      <c r="G247" s="13" t="b">
        <v>1</v>
      </c>
    </row>
    <row r="248" ht="15.75" customHeight="1">
      <c r="A248" s="13">
        <v>2.103300002E9</v>
      </c>
      <c r="B248" s="13">
        <v>2.103300002E9</v>
      </c>
      <c r="C248" s="13" t="s">
        <v>413</v>
      </c>
      <c r="D248" s="13" t="s">
        <v>386</v>
      </c>
      <c r="G248" s="13" t="b">
        <v>1</v>
      </c>
    </row>
    <row r="249" ht="15.75" customHeight="1">
      <c r="A249" s="13">
        <v>2.103300004E9</v>
      </c>
      <c r="B249" s="13">
        <v>2.103300004E9</v>
      </c>
      <c r="C249" s="13" t="s">
        <v>414</v>
      </c>
      <c r="D249" s="13" t="s">
        <v>386</v>
      </c>
      <c r="G249" s="13" t="b">
        <v>1</v>
      </c>
    </row>
    <row r="250" ht="15.75" customHeight="1">
      <c r="A250" s="13">
        <v>2.103300005E9</v>
      </c>
      <c r="B250" s="13">
        <v>2.103300005E9</v>
      </c>
      <c r="C250" s="13" t="s">
        <v>415</v>
      </c>
      <c r="D250" s="13" t="s">
        <v>386</v>
      </c>
      <c r="G250" s="13" t="b">
        <v>1</v>
      </c>
    </row>
    <row r="251" ht="15.75" customHeight="1">
      <c r="A251" s="13">
        <v>2.103300008E9</v>
      </c>
      <c r="B251" s="13">
        <v>2.103300008E9</v>
      </c>
      <c r="C251" s="13" t="s">
        <v>416</v>
      </c>
      <c r="D251" s="13" t="s">
        <v>386</v>
      </c>
      <c r="G251" s="13" t="b">
        <v>1</v>
      </c>
    </row>
    <row r="252" ht="15.75" customHeight="1">
      <c r="A252" s="13">
        <v>2.103300009E9</v>
      </c>
      <c r="B252" s="13">
        <v>2.103300009E9</v>
      </c>
      <c r="C252" s="13" t="s">
        <v>417</v>
      </c>
      <c r="D252" s="13" t="s">
        <v>386</v>
      </c>
      <c r="G252" s="13" t="b">
        <v>0</v>
      </c>
    </row>
    <row r="253" ht="15.75" customHeight="1">
      <c r="A253" s="13">
        <v>2.103300089E9</v>
      </c>
      <c r="B253" s="13">
        <v>2.103300089E9</v>
      </c>
      <c r="C253" s="13" t="s">
        <v>418</v>
      </c>
      <c r="D253" s="13" t="s">
        <v>386</v>
      </c>
      <c r="G253" s="13" t="b">
        <v>1</v>
      </c>
    </row>
    <row r="254" ht="15.75" customHeight="1">
      <c r="A254" s="13">
        <v>2.10330009E9</v>
      </c>
      <c r="B254" s="13">
        <v>2.10330009E9</v>
      </c>
      <c r="C254" s="13" t="s">
        <v>419</v>
      </c>
      <c r="D254" s="13" t="s">
        <v>386</v>
      </c>
      <c r="G254" s="13" t="b">
        <v>1</v>
      </c>
    </row>
    <row r="255" ht="15.75" customHeight="1">
      <c r="A255" s="13">
        <v>2.103300097E9</v>
      </c>
      <c r="B255" s="13">
        <v>2.103300097E9</v>
      </c>
      <c r="C255" s="13" t="s">
        <v>420</v>
      </c>
      <c r="D255" s="13" t="s">
        <v>386</v>
      </c>
      <c r="G255" s="13" t="b">
        <v>0</v>
      </c>
    </row>
    <row r="256" ht="15.75" customHeight="1">
      <c r="A256" s="13">
        <v>2.103300098E9</v>
      </c>
      <c r="B256" s="13">
        <v>2.103300098E9</v>
      </c>
      <c r="C256" s="13" t="s">
        <v>421</v>
      </c>
      <c r="D256" s="13" t="s">
        <v>386</v>
      </c>
      <c r="G256" s="13" t="b">
        <v>0</v>
      </c>
    </row>
    <row r="257" ht="15.75" customHeight="1">
      <c r="A257" s="13">
        <v>2.103300099E9</v>
      </c>
      <c r="B257" s="13">
        <v>2.103300099E9</v>
      </c>
      <c r="C257" s="13" t="s">
        <v>422</v>
      </c>
      <c r="D257" s="13" t="s">
        <v>386</v>
      </c>
      <c r="G257" s="13" t="b">
        <v>0</v>
      </c>
    </row>
    <row r="258" ht="15.75" customHeight="1">
      <c r="A258" s="13">
        <v>2.103300999E9</v>
      </c>
      <c r="B258" s="13">
        <v>2.103300999E9</v>
      </c>
      <c r="C258" s="13" t="s">
        <v>423</v>
      </c>
      <c r="D258" s="13" t="s">
        <v>386</v>
      </c>
      <c r="G258" s="13" t="b">
        <v>0</v>
      </c>
    </row>
    <row r="259" ht="15.75" customHeight="1">
      <c r="A259" s="13">
        <v>2.103400001E9</v>
      </c>
      <c r="B259" s="13">
        <v>2.103400001E9</v>
      </c>
      <c r="C259" s="13" t="s">
        <v>424</v>
      </c>
      <c r="D259" s="13" t="s">
        <v>386</v>
      </c>
      <c r="G259" s="13" t="b">
        <v>1</v>
      </c>
    </row>
    <row r="260" ht="15.75" customHeight="1">
      <c r="A260" s="13">
        <v>2.103400002E9</v>
      </c>
      <c r="B260" s="13">
        <v>2.103400002E9</v>
      </c>
      <c r="C260" s="13" t="s">
        <v>425</v>
      </c>
      <c r="D260" s="13" t="s">
        <v>386</v>
      </c>
      <c r="G260" s="13" t="b">
        <v>1</v>
      </c>
    </row>
    <row r="261" ht="15.75" customHeight="1">
      <c r="A261" s="13">
        <v>2.103400008E9</v>
      </c>
      <c r="B261" s="13">
        <v>2.103400008E9</v>
      </c>
      <c r="C261" s="13" t="s">
        <v>426</v>
      </c>
      <c r="D261" s="13" t="s">
        <v>386</v>
      </c>
      <c r="G261" s="13" t="b">
        <v>1</v>
      </c>
    </row>
    <row r="262" ht="15.75" customHeight="1">
      <c r="A262" s="13">
        <v>2.103400089E9</v>
      </c>
      <c r="B262" s="13">
        <v>2.103400089E9</v>
      </c>
      <c r="C262" s="13" t="s">
        <v>427</v>
      </c>
      <c r="D262" s="13" t="s">
        <v>386</v>
      </c>
      <c r="G262" s="13" t="b">
        <v>1</v>
      </c>
    </row>
    <row r="263" ht="15.75" customHeight="1">
      <c r="A263" s="13">
        <v>2.103400999E9</v>
      </c>
      <c r="B263" s="13">
        <v>2.103400999E9</v>
      </c>
      <c r="C263" s="13" t="s">
        <v>428</v>
      </c>
      <c r="D263" s="13" t="s">
        <v>386</v>
      </c>
      <c r="G263" s="13" t="b">
        <v>0</v>
      </c>
    </row>
    <row r="264" ht="15.75" customHeight="1">
      <c r="A264" s="13">
        <v>2.103500001E9</v>
      </c>
      <c r="B264" s="13">
        <v>2.103500001E9</v>
      </c>
      <c r="C264" s="13" t="s">
        <v>429</v>
      </c>
      <c r="D264" s="13" t="s">
        <v>386</v>
      </c>
      <c r="G264" s="13" t="b">
        <v>1</v>
      </c>
    </row>
    <row r="265" ht="15.75" customHeight="1">
      <c r="A265" s="13">
        <v>2.104100001E9</v>
      </c>
      <c r="B265" s="13">
        <v>2.104100001E9</v>
      </c>
      <c r="C265" s="13" t="s">
        <v>430</v>
      </c>
      <c r="D265" s="13" t="s">
        <v>386</v>
      </c>
      <c r="G265" s="13" t="b">
        <v>0</v>
      </c>
    </row>
    <row r="266" ht="15.75" customHeight="1">
      <c r="A266" s="13">
        <v>2.104100003E9</v>
      </c>
      <c r="B266" s="13">
        <v>2.104100003E9</v>
      </c>
      <c r="C266" s="13" t="s">
        <v>431</v>
      </c>
      <c r="D266" s="13" t="s">
        <v>386</v>
      </c>
      <c r="G266" s="13" t="b">
        <v>0</v>
      </c>
    </row>
    <row r="267" ht="15.75" customHeight="1">
      <c r="A267" s="13">
        <v>2.104100004E9</v>
      </c>
      <c r="B267" s="13">
        <v>2.104100004E9</v>
      </c>
      <c r="C267" s="13" t="s">
        <v>432</v>
      </c>
      <c r="D267" s="13" t="s">
        <v>386</v>
      </c>
      <c r="G267" s="13" t="b">
        <v>0</v>
      </c>
    </row>
    <row r="268" ht="15.75" customHeight="1">
      <c r="A268" s="13">
        <v>2.104100005E9</v>
      </c>
      <c r="B268" s="13">
        <v>2.104100005E9</v>
      </c>
      <c r="C268" s="13" t="s">
        <v>433</v>
      </c>
      <c r="D268" s="13" t="s">
        <v>386</v>
      </c>
      <c r="G268" s="13" t="b">
        <v>0</v>
      </c>
    </row>
    <row r="269" ht="15.75" customHeight="1">
      <c r="A269" s="13">
        <v>2.104100007E9</v>
      </c>
      <c r="B269" s="13">
        <v>2.104100007E9</v>
      </c>
      <c r="C269" s="13" t="s">
        <v>434</v>
      </c>
      <c r="D269" s="13" t="s">
        <v>386</v>
      </c>
      <c r="G269" s="13" t="b">
        <v>0</v>
      </c>
    </row>
    <row r="270" ht="15.75" customHeight="1">
      <c r="A270" s="13">
        <v>2.104100008E9</v>
      </c>
      <c r="B270" s="13">
        <v>2.104100008E9</v>
      </c>
      <c r="C270" s="13" t="s">
        <v>435</v>
      </c>
      <c r="D270" s="13" t="s">
        <v>386</v>
      </c>
      <c r="G270" s="13" t="b">
        <v>0</v>
      </c>
    </row>
    <row r="271" ht="15.75" customHeight="1">
      <c r="A271" s="13">
        <v>2.104200001E9</v>
      </c>
      <c r="B271" s="13">
        <v>2.104200001E9</v>
      </c>
      <c r="C271" s="13" t="s">
        <v>436</v>
      </c>
      <c r="D271" s="13" t="s">
        <v>386</v>
      </c>
      <c r="G271" s="13" t="b">
        <v>0</v>
      </c>
    </row>
    <row r="272" ht="15.75" customHeight="1">
      <c r="A272" s="13">
        <v>2.104300001E9</v>
      </c>
      <c r="B272" s="13">
        <v>2.104300001E9</v>
      </c>
      <c r="C272" s="13" t="s">
        <v>437</v>
      </c>
      <c r="D272" s="13" t="s">
        <v>386</v>
      </c>
      <c r="G272" s="13" t="b">
        <v>0</v>
      </c>
    </row>
    <row r="273" ht="15.75" customHeight="1">
      <c r="A273" s="13">
        <v>2.104300002E9</v>
      </c>
      <c r="B273" s="13">
        <v>2.104300002E9</v>
      </c>
      <c r="C273" s="13" t="s">
        <v>438</v>
      </c>
      <c r="D273" s="13" t="s">
        <v>386</v>
      </c>
      <c r="G273" s="13" t="b">
        <v>0</v>
      </c>
    </row>
    <row r="274" ht="15.75" customHeight="1">
      <c r="A274" s="13">
        <v>2.104300009E9</v>
      </c>
      <c r="B274" s="13">
        <v>2.104300009E9</v>
      </c>
      <c r="C274" s="13" t="s">
        <v>439</v>
      </c>
      <c r="D274" s="13" t="s">
        <v>386</v>
      </c>
      <c r="G274" s="13" t="b">
        <v>1</v>
      </c>
    </row>
    <row r="275" ht="15.75" customHeight="1">
      <c r="A275" s="13">
        <v>2.104900001E9</v>
      </c>
      <c r="B275" s="13">
        <v>2.104900001E9</v>
      </c>
      <c r="C275" s="13" t="s">
        <v>440</v>
      </c>
      <c r="D275" s="13" t="s">
        <v>386</v>
      </c>
      <c r="G275" s="13" t="b">
        <v>1</v>
      </c>
    </row>
    <row r="276" ht="15.75" customHeight="1">
      <c r="A276" s="13">
        <v>2.105100001E9</v>
      </c>
      <c r="B276" s="13">
        <v>2.105100001E9</v>
      </c>
      <c r="C276" s="13" t="s">
        <v>441</v>
      </c>
      <c r="D276" s="13" t="s">
        <v>386</v>
      </c>
      <c r="G276" s="13" t="b">
        <v>1</v>
      </c>
    </row>
    <row r="277" ht="15.75" customHeight="1">
      <c r="A277" s="13">
        <v>2.105100002E9</v>
      </c>
      <c r="B277" s="13">
        <v>2.105100002E9</v>
      </c>
      <c r="C277" s="13" t="s">
        <v>442</v>
      </c>
      <c r="D277" s="13" t="s">
        <v>386</v>
      </c>
      <c r="G277" s="13" t="b">
        <v>1</v>
      </c>
    </row>
    <row r="278" ht="15.75" customHeight="1">
      <c r="A278" s="13">
        <v>2.105100003E9</v>
      </c>
      <c r="B278" s="13">
        <v>2.105100003E9</v>
      </c>
      <c r="C278" s="13" t="s">
        <v>443</v>
      </c>
      <c r="D278" s="13" t="s">
        <v>386</v>
      </c>
      <c r="G278" s="13" t="b">
        <v>1</v>
      </c>
    </row>
    <row r="279" ht="15.75" customHeight="1">
      <c r="A279" s="13">
        <v>2.105100004E9</v>
      </c>
      <c r="B279" s="13">
        <v>2.105100004E9</v>
      </c>
      <c r="C279" s="13" t="s">
        <v>444</v>
      </c>
      <c r="D279" s="13" t="s">
        <v>386</v>
      </c>
      <c r="G279" s="13" t="b">
        <v>1</v>
      </c>
    </row>
    <row r="280" ht="15.75" customHeight="1">
      <c r="A280" s="13">
        <v>2.105100005E9</v>
      </c>
      <c r="B280" s="13">
        <v>2.105100005E9</v>
      </c>
      <c r="C280" s="13" t="s">
        <v>445</v>
      </c>
      <c r="D280" s="13" t="s">
        <v>386</v>
      </c>
      <c r="G280" s="13" t="b">
        <v>1</v>
      </c>
    </row>
    <row r="281" ht="15.75" customHeight="1">
      <c r="A281" s="13">
        <v>2.105100006E9</v>
      </c>
      <c r="B281" s="13">
        <v>2.105100006E9</v>
      </c>
      <c r="C281" s="13" t="s">
        <v>446</v>
      </c>
      <c r="D281" s="13" t="s">
        <v>386</v>
      </c>
      <c r="G281" s="13" t="b">
        <v>1</v>
      </c>
    </row>
    <row r="282" ht="15.75" customHeight="1">
      <c r="A282" s="13">
        <v>2.105100007E9</v>
      </c>
      <c r="B282" s="13">
        <v>2.105100007E9</v>
      </c>
      <c r="C282" s="13" t="s">
        <v>447</v>
      </c>
      <c r="D282" s="13" t="s">
        <v>386</v>
      </c>
      <c r="G282" s="13" t="b">
        <v>1</v>
      </c>
    </row>
    <row r="283" ht="15.75" customHeight="1">
      <c r="A283" s="13">
        <v>2.105100008E9</v>
      </c>
      <c r="B283" s="13">
        <v>2.105100008E9</v>
      </c>
      <c r="C283" s="13" t="s">
        <v>448</v>
      </c>
      <c r="D283" s="13" t="s">
        <v>386</v>
      </c>
      <c r="G283" s="13" t="b">
        <v>1</v>
      </c>
    </row>
    <row r="284" ht="15.75" customHeight="1">
      <c r="A284" s="13">
        <v>2.105100009E9</v>
      </c>
      <c r="B284" s="13">
        <v>2.105100009E9</v>
      </c>
      <c r="C284" s="13" t="s">
        <v>449</v>
      </c>
      <c r="D284" s="13" t="s">
        <v>386</v>
      </c>
      <c r="G284" s="13" t="b">
        <v>1</v>
      </c>
    </row>
    <row r="285" ht="15.75" customHeight="1">
      <c r="A285" s="13">
        <v>2.10510001E9</v>
      </c>
      <c r="B285" s="13">
        <v>2.10510001E9</v>
      </c>
      <c r="C285" s="13" t="s">
        <v>450</v>
      </c>
      <c r="D285" s="13" t="s">
        <v>386</v>
      </c>
      <c r="G285" s="13" t="b">
        <v>1</v>
      </c>
    </row>
    <row r="286" ht="15.75" customHeight="1">
      <c r="A286" s="13">
        <v>2.105100011E9</v>
      </c>
      <c r="B286" s="13">
        <v>2.105100011E9</v>
      </c>
      <c r="C286" s="13" t="s">
        <v>451</v>
      </c>
      <c r="D286" s="13" t="s">
        <v>386</v>
      </c>
      <c r="G286" s="13" t="b">
        <v>1</v>
      </c>
    </row>
    <row r="287" ht="15.75" customHeight="1">
      <c r="A287" s="13">
        <v>2.105100099E9</v>
      </c>
      <c r="B287" s="13">
        <v>2.105100099E9</v>
      </c>
      <c r="C287" s="13" t="s">
        <v>452</v>
      </c>
      <c r="D287" s="13" t="s">
        <v>386</v>
      </c>
      <c r="G287" s="13" t="b">
        <v>1</v>
      </c>
    </row>
    <row r="288" ht="15.75" customHeight="1">
      <c r="A288" s="13">
        <v>2.105200001E9</v>
      </c>
      <c r="B288" s="13">
        <v>2.105200001E9</v>
      </c>
      <c r="C288" s="13" t="s">
        <v>453</v>
      </c>
      <c r="D288" s="13" t="s">
        <v>386</v>
      </c>
      <c r="G288" s="13" t="b">
        <v>1</v>
      </c>
    </row>
    <row r="289" ht="15.75" customHeight="1">
      <c r="A289" s="13">
        <v>2.105200002E9</v>
      </c>
      <c r="B289" s="13">
        <v>2.105200002E9</v>
      </c>
      <c r="C289" s="13" t="s">
        <v>454</v>
      </c>
      <c r="D289" s="13" t="s">
        <v>386</v>
      </c>
      <c r="G289" s="13" t="b">
        <v>1</v>
      </c>
    </row>
    <row r="290" ht="15.75" customHeight="1">
      <c r="A290" s="13">
        <v>2.105200003E9</v>
      </c>
      <c r="B290" s="13">
        <v>2.105200003E9</v>
      </c>
      <c r="C290" s="13" t="s">
        <v>455</v>
      </c>
      <c r="D290" s="13" t="s">
        <v>386</v>
      </c>
      <c r="G290" s="13" t="b">
        <v>1</v>
      </c>
    </row>
    <row r="291" ht="15.75" customHeight="1">
      <c r="A291" s="13">
        <v>2.105200006E9</v>
      </c>
      <c r="B291" s="13">
        <v>2.105200006E9</v>
      </c>
      <c r="C291" s="13" t="s">
        <v>456</v>
      </c>
      <c r="D291" s="13" t="s">
        <v>386</v>
      </c>
      <c r="G291" s="13" t="b">
        <v>1</v>
      </c>
    </row>
    <row r="292" ht="15.75" customHeight="1">
      <c r="A292" s="13">
        <v>2.106000001E9</v>
      </c>
      <c r="B292" s="13">
        <v>2.106000001E9</v>
      </c>
      <c r="C292" s="13" t="s">
        <v>457</v>
      </c>
      <c r="D292" s="13" t="s">
        <v>386</v>
      </c>
      <c r="G292" s="13" t="b">
        <v>0</v>
      </c>
    </row>
    <row r="293" ht="15.75" customHeight="1">
      <c r="A293" s="13">
        <v>2.108100001E9</v>
      </c>
      <c r="B293" s="13">
        <v>2.108100001E9</v>
      </c>
      <c r="C293" s="13" t="s">
        <v>458</v>
      </c>
      <c r="D293" s="13" t="s">
        <v>386</v>
      </c>
      <c r="G293" s="13" t="b">
        <v>1</v>
      </c>
    </row>
    <row r="294" ht="15.75" customHeight="1">
      <c r="A294" s="13">
        <v>2.108200001E9</v>
      </c>
      <c r="B294" s="13">
        <v>2.108200001E9</v>
      </c>
      <c r="C294" s="13" t="s">
        <v>459</v>
      </c>
      <c r="D294" s="13" t="s">
        <v>386</v>
      </c>
      <c r="G294" s="13" t="b">
        <v>1</v>
      </c>
    </row>
    <row r="295" ht="15.75" customHeight="1">
      <c r="A295" s="13">
        <v>2.109000001E9</v>
      </c>
      <c r="B295" s="13">
        <v>2.109000001E9</v>
      </c>
      <c r="C295" s="13" t="s">
        <v>460</v>
      </c>
      <c r="D295" s="13" t="s">
        <v>386</v>
      </c>
      <c r="G295" s="13" t="b">
        <v>0</v>
      </c>
    </row>
    <row r="296" ht="15.75" customHeight="1">
      <c r="A296" s="13">
        <v>2.201000001E9</v>
      </c>
      <c r="B296" s="13">
        <v>2.201000001E9</v>
      </c>
      <c r="C296" s="13" t="s">
        <v>461</v>
      </c>
      <c r="D296" s="13" t="s">
        <v>462</v>
      </c>
      <c r="G296" s="13" t="b">
        <v>0</v>
      </c>
    </row>
    <row r="297" ht="15.75" customHeight="1">
      <c r="A297" s="13">
        <v>2.201000009E9</v>
      </c>
      <c r="B297" s="13">
        <v>2.201000009E9</v>
      </c>
      <c r="C297" s="13" t="s">
        <v>463</v>
      </c>
      <c r="D297" s="13" t="s">
        <v>462</v>
      </c>
      <c r="G297" s="13" t="b">
        <v>0</v>
      </c>
    </row>
    <row r="298" ht="15.75" customHeight="1">
      <c r="A298" s="13">
        <v>2.202200002E9</v>
      </c>
      <c r="B298" s="13">
        <v>2.202200002E9</v>
      </c>
      <c r="C298" s="13" t="s">
        <v>464</v>
      </c>
      <c r="D298" s="13" t="s">
        <v>462</v>
      </c>
      <c r="G298" s="13" t="b">
        <v>0</v>
      </c>
    </row>
    <row r="299" ht="15.75" customHeight="1">
      <c r="A299" s="13">
        <v>2.202300003E9</v>
      </c>
      <c r="B299" s="13">
        <v>2.202300003E9</v>
      </c>
      <c r="C299" s="13" t="s">
        <v>465</v>
      </c>
      <c r="D299" s="13" t="s">
        <v>462</v>
      </c>
      <c r="G299" s="13" t="b">
        <v>1</v>
      </c>
    </row>
    <row r="300" ht="15.75" customHeight="1">
      <c r="A300" s="13">
        <v>2.203000001E9</v>
      </c>
      <c r="B300" s="13">
        <v>2.203000001E9</v>
      </c>
      <c r="C300" s="13" t="s">
        <v>466</v>
      </c>
      <c r="D300" s="13" t="s">
        <v>462</v>
      </c>
      <c r="G300" s="13" t="b">
        <v>1</v>
      </c>
    </row>
    <row r="301" ht="15.75" customHeight="1">
      <c r="A301" s="13">
        <v>2.203000002E9</v>
      </c>
      <c r="B301" s="13">
        <v>2.203000002E9</v>
      </c>
      <c r="C301" s="13" t="s">
        <v>467</v>
      </c>
      <c r="D301" s="13" t="s">
        <v>462</v>
      </c>
      <c r="G301" s="13" t="b">
        <v>1</v>
      </c>
    </row>
    <row r="302" ht="15.75" customHeight="1">
      <c r="A302" s="13">
        <v>2.204E9</v>
      </c>
      <c r="B302" s="13">
        <v>2.204E9</v>
      </c>
      <c r="C302" s="13" t="s">
        <v>468</v>
      </c>
      <c r="D302" s="13" t="s">
        <v>462</v>
      </c>
      <c r="G302" s="13" t="b">
        <v>0</v>
      </c>
    </row>
    <row r="303" ht="15.75" customHeight="1">
      <c r="A303" s="13">
        <v>2.204000001E9</v>
      </c>
      <c r="B303" s="13">
        <v>2.204000001E9</v>
      </c>
      <c r="C303" s="13" t="s">
        <v>469</v>
      </c>
      <c r="D303" s="13" t="s">
        <v>462</v>
      </c>
      <c r="G303" s="13" t="b">
        <v>1</v>
      </c>
    </row>
    <row r="304" ht="15.75" customHeight="1">
      <c r="A304" s="13">
        <v>2.204000002E9</v>
      </c>
      <c r="B304" s="13">
        <v>2.204000002E9</v>
      </c>
      <c r="C304" s="13" t="s">
        <v>470</v>
      </c>
      <c r="D304" s="13" t="s">
        <v>462</v>
      </c>
      <c r="G304" s="13" t="b">
        <v>1</v>
      </c>
    </row>
    <row r="305" ht="15.75" customHeight="1">
      <c r="A305" s="13">
        <v>2.205000001E9</v>
      </c>
      <c r="B305" s="13">
        <v>2.205000001E9</v>
      </c>
      <c r="C305" s="13" t="s">
        <v>471</v>
      </c>
      <c r="D305" s="13" t="s">
        <v>462</v>
      </c>
      <c r="G305" s="13" t="b">
        <v>0</v>
      </c>
    </row>
    <row r="306" ht="15.75" customHeight="1">
      <c r="A306" s="13">
        <v>2.205000002E9</v>
      </c>
      <c r="B306" s="13">
        <v>2.205000002E9</v>
      </c>
      <c r="C306" s="13" t="s">
        <v>472</v>
      </c>
      <c r="D306" s="13" t="s">
        <v>462</v>
      </c>
      <c r="G306" s="13" t="b">
        <v>0</v>
      </c>
    </row>
    <row r="307" ht="15.75" customHeight="1">
      <c r="A307" s="13">
        <v>2.205000003E9</v>
      </c>
      <c r="B307" s="13">
        <v>2.205000003E9</v>
      </c>
      <c r="C307" s="13" t="s">
        <v>473</v>
      </c>
      <c r="D307" s="13" t="s">
        <v>462</v>
      </c>
      <c r="G307" s="13" t="b">
        <v>0</v>
      </c>
    </row>
    <row r="308" ht="15.75" customHeight="1">
      <c r="A308" s="13">
        <v>2.205000004E9</v>
      </c>
      <c r="B308" s="13">
        <v>2.205000004E9</v>
      </c>
      <c r="C308" s="13" t="s">
        <v>474</v>
      </c>
      <c r="D308" s="13" t="s">
        <v>462</v>
      </c>
      <c r="G308" s="13" t="b">
        <v>0</v>
      </c>
    </row>
    <row r="309" ht="15.75" customHeight="1">
      <c r="A309" s="13">
        <v>2.205000005E9</v>
      </c>
      <c r="B309" s="13">
        <v>2.205000005E9</v>
      </c>
      <c r="C309" s="13" t="s">
        <v>475</v>
      </c>
      <c r="D309" s="13" t="s">
        <v>462</v>
      </c>
      <c r="G309" s="13" t="b">
        <v>0</v>
      </c>
    </row>
    <row r="310" ht="15.75" customHeight="1">
      <c r="A310" s="13">
        <v>2.205000006E9</v>
      </c>
      <c r="B310" s="13">
        <v>2.205000006E9</v>
      </c>
      <c r="C310" s="13" t="s">
        <v>476</v>
      </c>
      <c r="D310" s="13" t="s">
        <v>462</v>
      </c>
      <c r="G310" s="13" t="b">
        <v>0</v>
      </c>
    </row>
    <row r="311" ht="15.75" customHeight="1">
      <c r="A311" s="13">
        <v>2.205000007E9</v>
      </c>
      <c r="B311" s="13">
        <v>2.205000007E9</v>
      </c>
      <c r="C311" s="13" t="s">
        <v>477</v>
      </c>
      <c r="D311" s="13" t="s">
        <v>462</v>
      </c>
      <c r="G311" s="13" t="b">
        <v>0</v>
      </c>
    </row>
    <row r="312" ht="15.75" customHeight="1">
      <c r="A312" s="13">
        <v>2.205000008E9</v>
      </c>
      <c r="B312" s="13">
        <v>2.205000008E9</v>
      </c>
      <c r="C312" s="13" t="s">
        <v>478</v>
      </c>
      <c r="D312" s="13" t="s">
        <v>462</v>
      </c>
      <c r="G312" s="13" t="b">
        <v>0</v>
      </c>
    </row>
    <row r="313" ht="15.75" customHeight="1">
      <c r="A313" s="13">
        <v>2.206000001E9</v>
      </c>
      <c r="B313" s="13">
        <v>2.206000001E9</v>
      </c>
      <c r="C313" s="13" t="s">
        <v>479</v>
      </c>
      <c r="D313" s="13" t="s">
        <v>462</v>
      </c>
      <c r="G313" s="13" t="b">
        <v>0</v>
      </c>
    </row>
    <row r="314" ht="15.75" customHeight="1">
      <c r="A314" s="13">
        <v>3.001100001E9</v>
      </c>
      <c r="B314" s="13">
        <v>3.001100001E9</v>
      </c>
      <c r="C314" s="13" t="s">
        <v>480</v>
      </c>
      <c r="D314" s="13" t="s">
        <v>481</v>
      </c>
      <c r="G314" s="13" t="b">
        <v>0</v>
      </c>
    </row>
    <row r="315" ht="15.75" customHeight="1">
      <c r="A315" s="13">
        <v>3.001200001E9</v>
      </c>
      <c r="B315" s="13">
        <v>3.001200001E9</v>
      </c>
      <c r="C315" s="13" t="s">
        <v>482</v>
      </c>
      <c r="D315" s="13" t="s">
        <v>481</v>
      </c>
      <c r="G315" s="13" t="b">
        <v>0</v>
      </c>
    </row>
    <row r="316" ht="15.75" customHeight="1">
      <c r="A316" s="13">
        <v>3.001300001E9</v>
      </c>
      <c r="B316" s="13">
        <v>3.001300001E9</v>
      </c>
      <c r="C316" s="13" t="s">
        <v>483</v>
      </c>
      <c r="D316" s="13" t="s">
        <v>481</v>
      </c>
      <c r="G316" s="13" t="b">
        <v>0</v>
      </c>
    </row>
    <row r="317" ht="15.75" customHeight="1">
      <c r="A317" s="13">
        <v>3.002000001E9</v>
      </c>
      <c r="B317" s="13">
        <v>3.002000001E9</v>
      </c>
      <c r="C317" s="13" t="s">
        <v>484</v>
      </c>
      <c r="D317" s="13" t="s">
        <v>481</v>
      </c>
      <c r="G317" s="13" t="b">
        <v>0</v>
      </c>
    </row>
    <row r="318" ht="15.75" customHeight="1">
      <c r="A318" s="13">
        <v>3.003000001E9</v>
      </c>
      <c r="B318" s="13">
        <v>3.003000001E9</v>
      </c>
      <c r="C318" s="13" t="s">
        <v>485</v>
      </c>
      <c r="D318" s="13" t="s">
        <v>481</v>
      </c>
      <c r="G318" s="13" t="b">
        <v>0</v>
      </c>
    </row>
    <row r="319" ht="15.75" customHeight="1">
      <c r="A319" s="13">
        <v>3.004100001E9</v>
      </c>
      <c r="B319" s="13">
        <v>3.004100001E9</v>
      </c>
      <c r="C319" s="13" t="s">
        <v>486</v>
      </c>
      <c r="D319" s="13" t="s">
        <v>481</v>
      </c>
      <c r="G319" s="13" t="b">
        <v>0</v>
      </c>
    </row>
    <row r="320" ht="15.75" customHeight="1">
      <c r="A320" s="13">
        <v>3.004200001E9</v>
      </c>
      <c r="B320" s="13">
        <v>3.004200001E9</v>
      </c>
      <c r="C320" s="13" t="s">
        <v>487</v>
      </c>
      <c r="D320" s="13" t="s">
        <v>481</v>
      </c>
      <c r="G320" s="13" t="b">
        <v>0</v>
      </c>
    </row>
    <row r="321" ht="15.75" customHeight="1">
      <c r="A321" s="13">
        <v>3.005100001E9</v>
      </c>
      <c r="B321" s="13">
        <v>3.005100001E9</v>
      </c>
      <c r="C321" s="13" t="s">
        <v>488</v>
      </c>
      <c r="D321" s="13" t="s">
        <v>481</v>
      </c>
      <c r="G321" s="13" t="b">
        <v>0</v>
      </c>
    </row>
    <row r="322" ht="15.75" customHeight="1">
      <c r="A322" s="13">
        <v>3.005100002E9</v>
      </c>
      <c r="B322" s="13">
        <v>3.005100002E9</v>
      </c>
      <c r="C322" s="13" t="s">
        <v>489</v>
      </c>
      <c r="D322" s="13" t="s">
        <v>481</v>
      </c>
      <c r="G322" s="13" t="b">
        <v>0</v>
      </c>
    </row>
    <row r="323" ht="15.75" customHeight="1">
      <c r="A323" s="13">
        <v>3.005100003E9</v>
      </c>
      <c r="B323" s="13">
        <v>3.005100003E9</v>
      </c>
      <c r="C323" s="13" t="s">
        <v>490</v>
      </c>
      <c r="D323" s="13" t="s">
        <v>481</v>
      </c>
      <c r="G323" s="13" t="b">
        <v>0</v>
      </c>
    </row>
    <row r="324" ht="15.75" customHeight="1">
      <c r="A324" s="13">
        <v>3.005100004E9</v>
      </c>
      <c r="B324" s="13">
        <v>3.005100004E9</v>
      </c>
      <c r="C324" s="13" t="s">
        <v>491</v>
      </c>
      <c r="D324" s="13" t="s">
        <v>481</v>
      </c>
      <c r="G324" s="13" t="b">
        <v>0</v>
      </c>
    </row>
    <row r="325" ht="15.75" customHeight="1">
      <c r="A325" s="13">
        <v>3.005100005E9</v>
      </c>
      <c r="B325" s="13">
        <v>3.005100005E9</v>
      </c>
      <c r="C325" s="13" t="s">
        <v>492</v>
      </c>
      <c r="D325" s="13" t="s">
        <v>481</v>
      </c>
      <c r="G325" s="13" t="b">
        <v>0</v>
      </c>
    </row>
    <row r="326" ht="15.75" customHeight="1">
      <c r="A326" s="13">
        <v>3.005100006E9</v>
      </c>
      <c r="B326" s="13">
        <v>3.005100006E9</v>
      </c>
      <c r="C326" s="13" t="s">
        <v>493</v>
      </c>
      <c r="D326" s="13" t="s">
        <v>481</v>
      </c>
      <c r="G326" s="13" t="b">
        <v>0</v>
      </c>
    </row>
    <row r="327" ht="15.75" customHeight="1">
      <c r="A327" s="13">
        <v>3.005200001E9</v>
      </c>
      <c r="B327" s="13">
        <v>3.005200001E9</v>
      </c>
      <c r="C327" s="13" t="s">
        <v>494</v>
      </c>
      <c r="D327" s="13" t="s">
        <v>481</v>
      </c>
      <c r="G327" s="13" t="b">
        <v>0</v>
      </c>
    </row>
    <row r="328" ht="15.75" customHeight="1">
      <c r="A328" s="13">
        <v>3.005200002E9</v>
      </c>
      <c r="B328" s="13">
        <v>3.005200002E9</v>
      </c>
      <c r="C328" s="13" t="s">
        <v>495</v>
      </c>
      <c r="D328" s="13" t="s">
        <v>481</v>
      </c>
      <c r="G328" s="13" t="b">
        <v>0</v>
      </c>
    </row>
    <row r="329" ht="15.75" customHeight="1">
      <c r="A329" s="13">
        <v>3.005200003E9</v>
      </c>
      <c r="B329" s="13">
        <v>3.005200003E9</v>
      </c>
      <c r="C329" s="13" t="s">
        <v>496</v>
      </c>
      <c r="D329" s="13" t="s">
        <v>481</v>
      </c>
      <c r="G329" s="13" t="b">
        <v>0</v>
      </c>
    </row>
    <row r="330" ht="15.75" customHeight="1">
      <c r="A330" s="13">
        <v>3.005200004E9</v>
      </c>
      <c r="B330" s="13">
        <v>3.005200004E9</v>
      </c>
      <c r="C330" s="13" t="s">
        <v>497</v>
      </c>
      <c r="D330" s="13" t="s">
        <v>481</v>
      </c>
      <c r="G330" s="13" t="b">
        <v>0</v>
      </c>
    </row>
    <row r="331" ht="15.75" customHeight="1">
      <c r="A331" s="13">
        <v>3.005200005E9</v>
      </c>
      <c r="B331" s="13">
        <v>3.005200005E9</v>
      </c>
      <c r="C331" s="13" t="s">
        <v>498</v>
      </c>
      <c r="D331" s="13" t="s">
        <v>481</v>
      </c>
      <c r="G331" s="13" t="b">
        <v>0</v>
      </c>
    </row>
    <row r="332" ht="15.75" customHeight="1">
      <c r="A332" s="13">
        <v>3.005200006E9</v>
      </c>
      <c r="B332" s="13">
        <v>3.005200006E9</v>
      </c>
      <c r="C332" s="13" t="s">
        <v>499</v>
      </c>
      <c r="D332" s="13" t="s">
        <v>481</v>
      </c>
      <c r="G332" s="13" t="b">
        <v>0</v>
      </c>
    </row>
    <row r="333" ht="15.75" customHeight="1">
      <c r="A333" s="13">
        <v>3.006100001E9</v>
      </c>
      <c r="B333" s="13">
        <v>3.006100001E9</v>
      </c>
      <c r="C333" s="13" t="s">
        <v>500</v>
      </c>
      <c r="D333" s="13" t="s">
        <v>481</v>
      </c>
      <c r="G333" s="13" t="b">
        <v>0</v>
      </c>
    </row>
    <row r="334" ht="15.75" customHeight="1">
      <c r="A334" s="13">
        <v>3.006200001E9</v>
      </c>
      <c r="B334" s="13">
        <v>3.006200001E9</v>
      </c>
      <c r="C334" s="13" t="s">
        <v>501</v>
      </c>
      <c r="D334" s="13" t="s">
        <v>481</v>
      </c>
      <c r="G334" s="13" t="b">
        <v>0</v>
      </c>
    </row>
    <row r="335" ht="15.75" customHeight="1">
      <c r="A335" s="13">
        <v>3.007000001E9</v>
      </c>
      <c r="B335" s="13">
        <v>3.007000001E9</v>
      </c>
      <c r="C335" s="13" t="s">
        <v>502</v>
      </c>
      <c r="D335" s="13" t="s">
        <v>503</v>
      </c>
      <c r="G335" s="13" t="b">
        <v>0</v>
      </c>
    </row>
    <row r="336" ht="15.75" customHeight="1">
      <c r="A336" s="13">
        <v>3.008000001E9</v>
      </c>
      <c r="B336" s="13">
        <v>3.008000001E9</v>
      </c>
      <c r="C336" s="13" t="s">
        <v>504</v>
      </c>
      <c r="D336" s="13" t="s">
        <v>481</v>
      </c>
      <c r="G336" s="13" t="b">
        <v>0</v>
      </c>
    </row>
    <row r="337" ht="15.75" customHeight="1">
      <c r="A337" s="13">
        <v>5.122E9</v>
      </c>
      <c r="B337" s="13">
        <v>5.122E9</v>
      </c>
      <c r="C337" s="13" t="s">
        <v>505</v>
      </c>
      <c r="D337" s="13" t="s">
        <v>506</v>
      </c>
      <c r="G337" s="13" t="b">
        <v>0</v>
      </c>
    </row>
    <row r="338" ht="15.75" customHeight="1">
      <c r="A338" s="13">
        <v>5.199E9</v>
      </c>
      <c r="B338" s="13">
        <v>5.199E9</v>
      </c>
      <c r="C338" s="13" t="s">
        <v>507</v>
      </c>
      <c r="D338" s="13" t="s">
        <v>506</v>
      </c>
      <c r="G338" s="13" t="b">
        <v>0</v>
      </c>
    </row>
    <row r="339" ht="15.75" customHeight="1">
      <c r="A339" s="13">
        <v>5.299E9</v>
      </c>
      <c r="B339" s="13">
        <v>5.299E9</v>
      </c>
      <c r="C339" s="13" t="s">
        <v>508</v>
      </c>
      <c r="D339" s="13" t="s">
        <v>506</v>
      </c>
      <c r="G339" s="13" t="b">
        <v>0</v>
      </c>
    </row>
    <row r="340" ht="15.75" customHeight="1">
      <c r="A340" s="13">
        <v>5.399E9</v>
      </c>
      <c r="B340" s="13">
        <v>5.399E9</v>
      </c>
      <c r="C340" s="13" t="s">
        <v>509</v>
      </c>
      <c r="D340" s="13" t="s">
        <v>506</v>
      </c>
      <c r="G340" s="13" t="b">
        <v>0</v>
      </c>
    </row>
    <row r="341" ht="15.75" customHeight="1">
      <c r="A341" s="13">
        <v>5.501E9</v>
      </c>
      <c r="B341" s="13">
        <v>5.501E9</v>
      </c>
      <c r="C341" s="13" t="s">
        <v>510</v>
      </c>
      <c r="D341" s="13" t="s">
        <v>506</v>
      </c>
      <c r="G341" s="13" t="b">
        <v>0</v>
      </c>
    </row>
    <row r="342" ht="15.75" customHeight="1">
      <c r="A342" s="13">
        <v>5.502E9</v>
      </c>
      <c r="B342" s="13">
        <v>5.502E9</v>
      </c>
      <c r="C342" s="13" t="s">
        <v>511</v>
      </c>
      <c r="D342" s="13" t="s">
        <v>506</v>
      </c>
      <c r="G342" s="13" t="b">
        <v>0</v>
      </c>
    </row>
    <row r="343" ht="15.75" customHeight="1">
      <c r="A343" s="13">
        <v>6.122E9</v>
      </c>
      <c r="B343" s="13">
        <v>6.122E9</v>
      </c>
      <c r="C343" s="13" t="s">
        <v>512</v>
      </c>
      <c r="D343" s="13" t="s">
        <v>506</v>
      </c>
      <c r="G343" s="13" t="b">
        <v>0</v>
      </c>
    </row>
    <row r="344" ht="15.75" customHeight="1">
      <c r="A344" s="13">
        <v>6.199E9</v>
      </c>
      <c r="B344" s="13">
        <v>6.199E9</v>
      </c>
      <c r="C344" s="13" t="s">
        <v>513</v>
      </c>
      <c r="D344" s="13" t="s">
        <v>506</v>
      </c>
      <c r="G344" s="13" t="b">
        <v>0</v>
      </c>
    </row>
    <row r="345" ht="15.75" customHeight="1">
      <c r="A345" s="13">
        <v>6.200000001E9</v>
      </c>
      <c r="B345" s="13">
        <v>6.200000001E9</v>
      </c>
      <c r="C345" s="13" t="s">
        <v>514</v>
      </c>
      <c r="D345" s="13" t="s">
        <v>515</v>
      </c>
      <c r="G345" s="13" t="b">
        <v>0</v>
      </c>
    </row>
    <row r="346" ht="15.75" customHeight="1">
      <c r="A346" s="13">
        <v>6.200000002E9</v>
      </c>
      <c r="B346" s="13">
        <v>6.200000002E9</v>
      </c>
      <c r="C346" s="13" t="s">
        <v>516</v>
      </c>
      <c r="D346" s="13" t="s">
        <v>515</v>
      </c>
      <c r="G346" s="13" t="b">
        <v>0</v>
      </c>
    </row>
    <row r="347" ht="15.75" customHeight="1">
      <c r="A347" s="13">
        <v>6.300000001E9</v>
      </c>
      <c r="B347" s="13">
        <v>6.300000001E9</v>
      </c>
      <c r="C347" s="13" t="s">
        <v>517</v>
      </c>
      <c r="D347" s="13" t="s">
        <v>515</v>
      </c>
      <c r="G347" s="13" t="b">
        <v>0</v>
      </c>
    </row>
    <row r="348" ht="15.75" customHeight="1">
      <c r="A348" s="13">
        <v>6.400000001E9</v>
      </c>
      <c r="B348" s="13">
        <v>6.400000001E9</v>
      </c>
      <c r="C348" s="13" t="s">
        <v>518</v>
      </c>
      <c r="D348" s="13" t="s">
        <v>515</v>
      </c>
      <c r="G348" s="13" t="b">
        <v>0</v>
      </c>
    </row>
    <row r="349" ht="15.75" customHeight="1">
      <c r="A349" s="13">
        <v>6.501000001E9</v>
      </c>
      <c r="B349" s="13">
        <v>6.501000001E9</v>
      </c>
      <c r="C349" s="13" t="s">
        <v>519</v>
      </c>
      <c r="D349" s="13" t="s">
        <v>515</v>
      </c>
      <c r="G349" s="13" t="b">
        <v>0</v>
      </c>
    </row>
    <row r="350" ht="15.75" customHeight="1">
      <c r="A350" s="13">
        <v>6.501000002E9</v>
      </c>
      <c r="B350" s="13">
        <v>6.501000002E9</v>
      </c>
      <c r="C350" s="13" t="s">
        <v>520</v>
      </c>
      <c r="D350" s="13" t="s">
        <v>515</v>
      </c>
      <c r="G350" s="13" t="b">
        <v>0</v>
      </c>
    </row>
    <row r="351" ht="15.75" customHeight="1">
      <c r="A351" s="13">
        <v>6.501000003E9</v>
      </c>
      <c r="B351" s="13">
        <v>6.501000003E9</v>
      </c>
      <c r="C351" s="13" t="s">
        <v>521</v>
      </c>
      <c r="D351" s="13" t="s">
        <v>515</v>
      </c>
      <c r="G351" s="13" t="b">
        <v>0</v>
      </c>
    </row>
    <row r="352" ht="15.75" customHeight="1">
      <c r="A352" s="13">
        <v>6.502000001E9</v>
      </c>
      <c r="B352" s="13">
        <v>6.502000001E9</v>
      </c>
      <c r="C352" s="13" t="s">
        <v>522</v>
      </c>
      <c r="D352" s="13" t="s">
        <v>515</v>
      </c>
      <c r="G352" s="13" t="b">
        <v>0</v>
      </c>
    </row>
    <row r="353" ht="15.75" customHeight="1">
      <c r="A353" s="13">
        <v>6.502000002E9</v>
      </c>
      <c r="B353" s="13">
        <v>6.502000002E9</v>
      </c>
      <c r="C353" s="13" t="s">
        <v>523</v>
      </c>
      <c r="D353" s="13" t="s">
        <v>515</v>
      </c>
      <c r="G353" s="13" t="b">
        <v>0</v>
      </c>
    </row>
    <row r="354" ht="15.75" customHeight="1">
      <c r="A354" s="13">
        <v>6.502000003E9</v>
      </c>
      <c r="B354" s="13">
        <v>6.502000003E9</v>
      </c>
      <c r="C354" s="13" t="s">
        <v>524</v>
      </c>
      <c r="D354" s="13" t="s">
        <v>515</v>
      </c>
      <c r="G354" s="13" t="b">
        <v>0</v>
      </c>
    </row>
    <row r="355" ht="15.75" customHeight="1">
      <c r="A355" s="13">
        <v>6.600000001E9</v>
      </c>
      <c r="B355" s="13">
        <v>6.600000001E9</v>
      </c>
      <c r="C355" s="13" t="s">
        <v>525</v>
      </c>
      <c r="D355" s="13" t="s">
        <v>515</v>
      </c>
      <c r="G355" s="13" t="b">
        <v>0</v>
      </c>
    </row>
    <row r="356" ht="15.75" customHeight="1">
      <c r="A356" s="13">
        <v>6.600000002E9</v>
      </c>
      <c r="B356" s="13">
        <v>6.600000002E9</v>
      </c>
      <c r="C356" s="13" t="s">
        <v>526</v>
      </c>
      <c r="D356" s="13" t="s">
        <v>515</v>
      </c>
      <c r="G356" s="13" t="b">
        <v>0</v>
      </c>
    </row>
    <row r="357" ht="15.75" customHeight="1">
      <c r="A357" s="13">
        <v>6.600000003E9</v>
      </c>
      <c r="B357" s="13">
        <v>6.600000003E9</v>
      </c>
      <c r="C357" s="13" t="s">
        <v>527</v>
      </c>
      <c r="D357" s="13" t="s">
        <v>515</v>
      </c>
      <c r="G357" s="13" t="b">
        <v>0</v>
      </c>
    </row>
    <row r="358" ht="15.75" customHeight="1">
      <c r="A358" s="13">
        <v>6.600000004E9</v>
      </c>
      <c r="B358" s="13">
        <v>6.600000004E9</v>
      </c>
      <c r="C358" s="13" t="s">
        <v>528</v>
      </c>
      <c r="D358" s="13" t="s">
        <v>515</v>
      </c>
      <c r="G358" s="13" t="b">
        <v>0</v>
      </c>
    </row>
    <row r="359" ht="15.75" customHeight="1">
      <c r="A359" s="13">
        <v>6.700000001E9</v>
      </c>
      <c r="B359" s="13">
        <v>6.700000001E9</v>
      </c>
      <c r="C359" s="13" t="s">
        <v>529</v>
      </c>
      <c r="D359" s="13" t="s">
        <v>515</v>
      </c>
      <c r="G359" s="13" t="b">
        <v>0</v>
      </c>
    </row>
    <row r="360" ht="15.75" customHeight="1">
      <c r="A360" s="13">
        <v>6.799E9</v>
      </c>
      <c r="B360" s="13">
        <v>6.799E9</v>
      </c>
      <c r="C360" s="13" t="s">
        <v>530</v>
      </c>
      <c r="D360" s="13" t="s">
        <v>515</v>
      </c>
      <c r="G360" s="13" t="b">
        <v>0</v>
      </c>
    </row>
    <row r="361" ht="15.75" customHeight="1">
      <c r="A361" s="13">
        <v>6.800000001E9</v>
      </c>
      <c r="B361" s="13">
        <v>6.800000001E9</v>
      </c>
      <c r="C361" s="13" t="s">
        <v>531</v>
      </c>
      <c r="D361" s="13" t="s">
        <v>515</v>
      </c>
      <c r="G361" s="13" t="b">
        <v>0</v>
      </c>
    </row>
    <row r="362" ht="15.75" customHeight="1">
      <c r="A362" s="13">
        <v>6.800000002E9</v>
      </c>
      <c r="B362" s="13">
        <v>6.800000002E9</v>
      </c>
      <c r="C362" s="13" t="s">
        <v>532</v>
      </c>
      <c r="D362" s="13" t="s">
        <v>515</v>
      </c>
      <c r="G362" s="13" t="b">
        <v>0</v>
      </c>
    </row>
    <row r="363" ht="15.75" customHeight="1">
      <c r="A363" s="13">
        <v>6.900000001E9</v>
      </c>
      <c r="B363" s="13">
        <v>6.900000001E9</v>
      </c>
      <c r="C363" s="13" t="s">
        <v>533</v>
      </c>
      <c r="D363" s="13" t="s">
        <v>515</v>
      </c>
      <c r="G363" s="13" t="b">
        <v>0</v>
      </c>
    </row>
    <row r="364" ht="15.75" customHeight="1">
      <c r="A364" s="13">
        <v>6.999E9</v>
      </c>
      <c r="B364" s="13">
        <v>6.999E9</v>
      </c>
      <c r="C364" s="13" t="s">
        <v>534</v>
      </c>
      <c r="D364" s="13" t="s">
        <v>515</v>
      </c>
      <c r="G364" s="13" t="b">
        <v>0</v>
      </c>
    </row>
    <row r="365" ht="15.75" customHeight="1">
      <c r="A365" s="13">
        <v>7.101001E9</v>
      </c>
      <c r="B365" s="13">
        <v>7.101001E9</v>
      </c>
      <c r="C365" s="13" t="s">
        <v>535</v>
      </c>
      <c r="D365" s="13" t="s">
        <v>536</v>
      </c>
      <c r="G365" s="13" t="b">
        <v>0</v>
      </c>
    </row>
    <row r="366" ht="15.75" customHeight="1">
      <c r="A366" s="13">
        <v>7.101002E9</v>
      </c>
      <c r="B366" s="13">
        <v>7.101002E9</v>
      </c>
      <c r="C366" s="13" t="s">
        <v>537</v>
      </c>
      <c r="D366" s="13" t="s">
        <v>536</v>
      </c>
      <c r="G366" s="13" t="b">
        <v>0</v>
      </c>
    </row>
    <row r="367" ht="15.75" customHeight="1">
      <c r="A367" s="13">
        <v>7.101003E9</v>
      </c>
      <c r="B367" s="13">
        <v>7.101003E9</v>
      </c>
      <c r="C367" s="13" t="s">
        <v>538</v>
      </c>
      <c r="D367" s="13" t="s">
        <v>536</v>
      </c>
      <c r="G367" s="13" t="b">
        <v>0</v>
      </c>
    </row>
    <row r="368" ht="15.75" customHeight="1">
      <c r="A368" s="13">
        <v>7.101004E9</v>
      </c>
      <c r="B368" s="13">
        <v>7.101004E9</v>
      </c>
      <c r="C368" s="13" t="s">
        <v>539</v>
      </c>
      <c r="D368" s="13" t="s">
        <v>536</v>
      </c>
      <c r="G368" s="13" t="b">
        <v>0</v>
      </c>
    </row>
    <row r="369" ht="15.75" customHeight="1">
      <c r="A369" s="13">
        <v>7.101005E9</v>
      </c>
      <c r="B369" s="13">
        <v>7.101005E9</v>
      </c>
      <c r="C369" s="13" t="s">
        <v>540</v>
      </c>
      <c r="D369" s="13" t="s">
        <v>536</v>
      </c>
      <c r="G369" s="13" t="b">
        <v>0</v>
      </c>
    </row>
    <row r="370" ht="15.75" customHeight="1">
      <c r="A370" s="13">
        <v>7.101006E9</v>
      </c>
      <c r="B370" s="13">
        <v>7.101006E9</v>
      </c>
      <c r="C370" s="13" t="s">
        <v>541</v>
      </c>
      <c r="D370" s="13" t="s">
        <v>536</v>
      </c>
      <c r="G370" s="13" t="b">
        <v>0</v>
      </c>
    </row>
    <row r="371" ht="15.75" customHeight="1">
      <c r="A371" s="13">
        <v>7.101007E9</v>
      </c>
      <c r="B371" s="13">
        <v>7.101007E9</v>
      </c>
      <c r="C371" s="13" t="s">
        <v>542</v>
      </c>
      <c r="D371" s="13" t="s">
        <v>536</v>
      </c>
      <c r="G371" s="13" t="b">
        <v>0</v>
      </c>
    </row>
    <row r="372" ht="15.75" customHeight="1">
      <c r="A372" s="13">
        <v>7.101008E9</v>
      </c>
      <c r="B372" s="13">
        <v>7.101008E9</v>
      </c>
      <c r="C372" s="13" t="s">
        <v>543</v>
      </c>
      <c r="D372" s="13" t="s">
        <v>536</v>
      </c>
      <c r="G372" s="13" t="b">
        <v>0</v>
      </c>
    </row>
    <row r="373" ht="15.75" customHeight="1">
      <c r="A373" s="13">
        <v>7.101009E9</v>
      </c>
      <c r="B373" s="13">
        <v>7.101009E9</v>
      </c>
      <c r="C373" s="13" t="s">
        <v>544</v>
      </c>
      <c r="D373" s="13" t="s">
        <v>536</v>
      </c>
      <c r="G373" s="13" t="b">
        <v>0</v>
      </c>
    </row>
    <row r="374" ht="15.75" customHeight="1">
      <c r="A374" s="13">
        <v>7.10101E9</v>
      </c>
      <c r="B374" s="13">
        <v>7.10101E9</v>
      </c>
      <c r="C374" s="13" t="s">
        <v>545</v>
      </c>
      <c r="D374" s="13" t="s">
        <v>536</v>
      </c>
      <c r="G374" s="13" t="b">
        <v>0</v>
      </c>
    </row>
    <row r="375" ht="15.75" customHeight="1">
      <c r="A375" s="13">
        <v>7.101011E9</v>
      </c>
      <c r="B375" s="13">
        <v>7.101011E9</v>
      </c>
      <c r="C375" s="13" t="s">
        <v>546</v>
      </c>
      <c r="D375" s="13" t="s">
        <v>536</v>
      </c>
      <c r="G375" s="13" t="b">
        <v>0</v>
      </c>
    </row>
    <row r="376" ht="15.75" customHeight="1">
      <c r="A376" s="13">
        <v>7.101012E9</v>
      </c>
      <c r="B376" s="13">
        <v>7.101012E9</v>
      </c>
      <c r="C376" s="13" t="s">
        <v>547</v>
      </c>
      <c r="D376" s="13" t="s">
        <v>536</v>
      </c>
      <c r="G376" s="13" t="b">
        <v>0</v>
      </c>
    </row>
    <row r="377" ht="15.75" customHeight="1">
      <c r="A377" s="13">
        <v>7.101013E9</v>
      </c>
      <c r="B377" s="13">
        <v>7.101013E9</v>
      </c>
      <c r="C377" s="13" t="s">
        <v>548</v>
      </c>
      <c r="D377" s="13" t="s">
        <v>536</v>
      </c>
      <c r="G377" s="13" t="b">
        <v>0</v>
      </c>
    </row>
    <row r="378" ht="15.75" customHeight="1">
      <c r="A378" s="13">
        <v>7.102001E9</v>
      </c>
      <c r="B378" s="13">
        <v>7.102001E9</v>
      </c>
      <c r="C378" s="13" t="s">
        <v>549</v>
      </c>
      <c r="D378" s="13" t="s">
        <v>536</v>
      </c>
      <c r="G378" s="13" t="b">
        <v>0</v>
      </c>
    </row>
    <row r="379" ht="15.75" customHeight="1">
      <c r="A379" s="13">
        <v>7.102002E9</v>
      </c>
      <c r="B379" s="13">
        <v>7.102002E9</v>
      </c>
      <c r="C379" s="13" t="s">
        <v>550</v>
      </c>
      <c r="D379" s="13" t="s">
        <v>536</v>
      </c>
      <c r="G379" s="13" t="b">
        <v>0</v>
      </c>
    </row>
    <row r="380" ht="15.75" customHeight="1">
      <c r="A380" s="13">
        <v>7.102003E9</v>
      </c>
      <c r="B380" s="13">
        <v>7.102003E9</v>
      </c>
      <c r="C380" s="13" t="s">
        <v>551</v>
      </c>
      <c r="D380" s="13" t="s">
        <v>536</v>
      </c>
      <c r="G380" s="13" t="b">
        <v>0</v>
      </c>
    </row>
    <row r="381" ht="15.75" customHeight="1">
      <c r="A381" s="13">
        <v>7.102004E9</v>
      </c>
      <c r="B381" s="13">
        <v>7.102004E9</v>
      </c>
      <c r="C381" s="13" t="s">
        <v>552</v>
      </c>
      <c r="D381" s="13" t="s">
        <v>536</v>
      </c>
      <c r="G381" s="13" t="b">
        <v>0</v>
      </c>
    </row>
    <row r="382" ht="15.75" customHeight="1">
      <c r="A382" s="13">
        <v>7.102005E9</v>
      </c>
      <c r="B382" s="13">
        <v>7.102005E9</v>
      </c>
      <c r="C382" s="13" t="s">
        <v>553</v>
      </c>
      <c r="D382" s="13" t="s">
        <v>536</v>
      </c>
      <c r="G382" s="13" t="b">
        <v>0</v>
      </c>
    </row>
    <row r="383" ht="15.75" customHeight="1">
      <c r="A383" s="13">
        <v>7.102006E9</v>
      </c>
      <c r="B383" s="13">
        <v>7.102006E9</v>
      </c>
      <c r="C383" s="13" t="s">
        <v>554</v>
      </c>
      <c r="D383" s="13" t="s">
        <v>536</v>
      </c>
      <c r="G383" s="13" t="b">
        <v>0</v>
      </c>
    </row>
    <row r="384" ht="15.75" customHeight="1">
      <c r="A384" s="13">
        <v>7.102007E9</v>
      </c>
      <c r="B384" s="13">
        <v>7.102007E9</v>
      </c>
      <c r="C384" s="13" t="s">
        <v>555</v>
      </c>
      <c r="D384" s="13" t="s">
        <v>536</v>
      </c>
      <c r="G384" s="13" t="b">
        <v>0</v>
      </c>
    </row>
    <row r="385" ht="15.75" customHeight="1">
      <c r="A385" s="13">
        <v>7.102008E9</v>
      </c>
      <c r="B385" s="13">
        <v>7.102008E9</v>
      </c>
      <c r="C385" s="13" t="s">
        <v>556</v>
      </c>
      <c r="D385" s="13" t="s">
        <v>536</v>
      </c>
      <c r="G385" s="13" t="b">
        <v>0</v>
      </c>
    </row>
    <row r="386" ht="15.75" customHeight="1">
      <c r="A386" s="13">
        <v>7.102009E9</v>
      </c>
      <c r="B386" s="13">
        <v>7.102009E9</v>
      </c>
      <c r="C386" s="13" t="s">
        <v>557</v>
      </c>
      <c r="D386" s="13" t="s">
        <v>536</v>
      </c>
      <c r="G386" s="13" t="b">
        <v>0</v>
      </c>
    </row>
    <row r="387" ht="15.75" customHeight="1">
      <c r="A387" s="13">
        <v>7.10201E9</v>
      </c>
      <c r="B387" s="13">
        <v>7.10201E9</v>
      </c>
      <c r="C387" s="13" t="s">
        <v>558</v>
      </c>
      <c r="D387" s="13" t="s">
        <v>536</v>
      </c>
      <c r="G387" s="13" t="b">
        <v>0</v>
      </c>
    </row>
    <row r="388" ht="15.75" customHeight="1">
      <c r="A388" s="13">
        <v>7.102011E9</v>
      </c>
      <c r="B388" s="13">
        <v>7.102011E9</v>
      </c>
      <c r="C388" s="13" t="s">
        <v>559</v>
      </c>
      <c r="D388" s="13" t="s">
        <v>536</v>
      </c>
      <c r="G388" s="13" t="b">
        <v>0</v>
      </c>
    </row>
    <row r="389" ht="15.75" customHeight="1">
      <c r="A389" s="13">
        <v>7.102012E9</v>
      </c>
      <c r="B389" s="13">
        <v>7.102012E9</v>
      </c>
      <c r="C389" s="13" t="s">
        <v>560</v>
      </c>
      <c r="D389" s="13" t="s">
        <v>536</v>
      </c>
      <c r="G389" s="13" t="b">
        <v>0</v>
      </c>
    </row>
    <row r="390" ht="15.75" customHeight="1">
      <c r="A390" s="13">
        <v>7.102013E9</v>
      </c>
      <c r="B390" s="13">
        <v>7.102013E9</v>
      </c>
      <c r="C390" s="13" t="s">
        <v>561</v>
      </c>
      <c r="D390" s="13" t="s">
        <v>536</v>
      </c>
      <c r="G390" s="13" t="b">
        <v>0</v>
      </c>
    </row>
    <row r="391" ht="15.75" customHeight="1">
      <c r="A391" s="13">
        <v>7.102014E9</v>
      </c>
      <c r="B391" s="13">
        <v>7.102014E9</v>
      </c>
      <c r="C391" s="13" t="s">
        <v>562</v>
      </c>
      <c r="D391" s="13" t="s">
        <v>536</v>
      </c>
      <c r="G391" s="13" t="b">
        <v>0</v>
      </c>
    </row>
    <row r="392" ht="15.75" customHeight="1">
      <c r="A392" s="13">
        <v>7.103001E9</v>
      </c>
      <c r="B392" s="13">
        <v>7.103001E9</v>
      </c>
      <c r="C392" s="13" t="s">
        <v>563</v>
      </c>
      <c r="D392" s="13" t="s">
        <v>536</v>
      </c>
      <c r="G392" s="13" t="b">
        <v>0</v>
      </c>
    </row>
    <row r="393" ht="15.75" customHeight="1">
      <c r="A393" s="13">
        <v>7.103002E9</v>
      </c>
      <c r="B393" s="13">
        <v>7.103002E9</v>
      </c>
      <c r="C393" s="13" t="s">
        <v>564</v>
      </c>
      <c r="D393" s="13" t="s">
        <v>536</v>
      </c>
      <c r="G393" s="13" t="b">
        <v>0</v>
      </c>
    </row>
    <row r="394" ht="15.75" customHeight="1">
      <c r="A394" s="13">
        <v>7.103003E9</v>
      </c>
      <c r="B394" s="13">
        <v>7.103003E9</v>
      </c>
      <c r="C394" s="13" t="s">
        <v>565</v>
      </c>
      <c r="D394" s="13" t="s">
        <v>536</v>
      </c>
      <c r="G394" s="13" t="b">
        <v>0</v>
      </c>
    </row>
    <row r="395" ht="15.75" customHeight="1">
      <c r="A395" s="13">
        <v>7.103004E9</v>
      </c>
      <c r="B395" s="13">
        <v>7.103004E9</v>
      </c>
      <c r="C395" s="13" t="s">
        <v>566</v>
      </c>
      <c r="D395" s="13" t="s">
        <v>536</v>
      </c>
      <c r="G395" s="13" t="b">
        <v>0</v>
      </c>
    </row>
    <row r="396" ht="15.75" customHeight="1">
      <c r="A396" s="13">
        <v>7.103005E9</v>
      </c>
      <c r="B396" s="13">
        <v>7.103005E9</v>
      </c>
      <c r="C396" s="13" t="s">
        <v>567</v>
      </c>
      <c r="D396" s="13" t="s">
        <v>536</v>
      </c>
      <c r="G396" s="13" t="b">
        <v>0</v>
      </c>
    </row>
    <row r="397" ht="15.75" customHeight="1">
      <c r="A397" s="13">
        <v>7.104000001E9</v>
      </c>
      <c r="B397" s="13">
        <v>7.104000001E9</v>
      </c>
      <c r="C397" s="13" t="s">
        <v>568</v>
      </c>
      <c r="D397" s="13" t="s">
        <v>536</v>
      </c>
      <c r="G397" s="13" t="b">
        <v>0</v>
      </c>
    </row>
    <row r="398" ht="15.75" customHeight="1">
      <c r="A398" s="13">
        <v>7.104000002E9</v>
      </c>
      <c r="B398" s="13">
        <v>7.104000002E9</v>
      </c>
      <c r="C398" s="13" t="s">
        <v>569</v>
      </c>
      <c r="D398" s="13" t="s">
        <v>536</v>
      </c>
      <c r="G398" s="13" t="b">
        <v>0</v>
      </c>
    </row>
    <row r="399" ht="15.75" customHeight="1">
      <c r="A399" s="13">
        <v>7.104000003E9</v>
      </c>
      <c r="B399" s="13">
        <v>7.104000003E9</v>
      </c>
      <c r="C399" s="13" t="s">
        <v>570</v>
      </c>
      <c r="D399" s="13" t="s">
        <v>536</v>
      </c>
      <c r="G399" s="13" t="b">
        <v>0</v>
      </c>
    </row>
    <row r="400" ht="15.75" customHeight="1">
      <c r="A400" s="13">
        <v>7.105000001E9</v>
      </c>
      <c r="B400" s="13">
        <v>7.105000001E9</v>
      </c>
      <c r="C400" s="13" t="s">
        <v>571</v>
      </c>
      <c r="D400" s="13" t="s">
        <v>536</v>
      </c>
      <c r="G400" s="13" t="b">
        <v>0</v>
      </c>
    </row>
    <row r="401" ht="15.75" customHeight="1">
      <c r="A401" s="13">
        <v>7.106001E9</v>
      </c>
      <c r="B401" s="13">
        <v>7.106001E9</v>
      </c>
      <c r="C401" s="13" t="s">
        <v>572</v>
      </c>
      <c r="D401" s="13" t="s">
        <v>536</v>
      </c>
      <c r="G401" s="13" t="b">
        <v>0</v>
      </c>
    </row>
    <row r="402" ht="15.75" customHeight="1">
      <c r="A402" s="13">
        <v>7.106002E9</v>
      </c>
      <c r="B402" s="13">
        <v>7.106002E9</v>
      </c>
      <c r="C402" s="13" t="s">
        <v>573</v>
      </c>
      <c r="D402" s="13" t="s">
        <v>536</v>
      </c>
      <c r="G402" s="13" t="b">
        <v>0</v>
      </c>
    </row>
    <row r="403" ht="15.75" customHeight="1">
      <c r="A403" s="13">
        <v>7.106003E9</v>
      </c>
      <c r="B403" s="13">
        <v>7.106003E9</v>
      </c>
      <c r="C403" s="13" t="s">
        <v>574</v>
      </c>
      <c r="D403" s="13" t="s">
        <v>536</v>
      </c>
      <c r="G403" s="13" t="b">
        <v>0</v>
      </c>
    </row>
    <row r="404" ht="15.75" customHeight="1">
      <c r="A404" s="13">
        <v>7.106004E9</v>
      </c>
      <c r="B404" s="13">
        <v>7.106004E9</v>
      </c>
      <c r="C404" s="13" t="s">
        <v>575</v>
      </c>
      <c r="D404" s="13" t="s">
        <v>536</v>
      </c>
      <c r="G404" s="13" t="b">
        <v>0</v>
      </c>
    </row>
    <row r="405" ht="15.75" customHeight="1">
      <c r="A405" s="13">
        <v>7.107000001E9</v>
      </c>
      <c r="B405" s="13">
        <v>7.107000001E9</v>
      </c>
      <c r="C405" s="13" t="s">
        <v>576</v>
      </c>
      <c r="D405" s="13" t="s">
        <v>536</v>
      </c>
      <c r="G405" s="13" t="b">
        <v>0</v>
      </c>
    </row>
    <row r="406" ht="15.75" customHeight="1">
      <c r="A406" s="13">
        <v>7.108001E9</v>
      </c>
      <c r="B406" s="13">
        <v>7.108001E9</v>
      </c>
      <c r="C406" s="13" t="s">
        <v>577</v>
      </c>
      <c r="D406" s="13" t="s">
        <v>536</v>
      </c>
      <c r="G406" s="13" t="b">
        <v>0</v>
      </c>
    </row>
    <row r="407" ht="15.75" customHeight="1">
      <c r="A407" s="13">
        <v>7.108002E9</v>
      </c>
      <c r="B407" s="13">
        <v>7.108002E9</v>
      </c>
      <c r="C407" s="13" t="s">
        <v>578</v>
      </c>
      <c r="D407" s="13" t="s">
        <v>536</v>
      </c>
      <c r="G407" s="13" t="b">
        <v>0</v>
      </c>
    </row>
    <row r="408" ht="15.75" customHeight="1">
      <c r="A408" s="13">
        <v>7.108003E9</v>
      </c>
      <c r="B408" s="13">
        <v>7.108003E9</v>
      </c>
      <c r="C408" s="13" t="s">
        <v>579</v>
      </c>
      <c r="D408" s="13" t="s">
        <v>536</v>
      </c>
      <c r="G408" s="13" t="b">
        <v>0</v>
      </c>
    </row>
    <row r="409" ht="15.75" customHeight="1">
      <c r="A409" s="13">
        <v>7.109001E9</v>
      </c>
      <c r="B409" s="13">
        <v>7.109001E9</v>
      </c>
      <c r="C409" s="13" t="s">
        <v>580</v>
      </c>
      <c r="D409" s="13" t="s">
        <v>536</v>
      </c>
      <c r="G409" s="13" t="b">
        <v>0</v>
      </c>
    </row>
    <row r="410" ht="15.75" customHeight="1">
      <c r="A410" s="13">
        <v>7.110001E9</v>
      </c>
      <c r="B410" s="13">
        <v>7.110001E9</v>
      </c>
      <c r="C410" s="13" t="s">
        <v>581</v>
      </c>
      <c r="D410" s="13" t="s">
        <v>582</v>
      </c>
      <c r="G410" s="13" t="b">
        <v>0</v>
      </c>
    </row>
    <row r="411" ht="15.75" customHeight="1">
      <c r="A411" s="13">
        <v>7.110002E9</v>
      </c>
      <c r="B411" s="13">
        <v>7.110002E9</v>
      </c>
      <c r="C411" s="13" t="s">
        <v>583</v>
      </c>
      <c r="D411" s="13" t="s">
        <v>582</v>
      </c>
      <c r="G411" s="13" t="b">
        <v>0</v>
      </c>
    </row>
    <row r="412" ht="15.75" customHeight="1">
      <c r="A412" s="13">
        <v>7.110099E9</v>
      </c>
      <c r="B412" s="13">
        <v>7.110099E9</v>
      </c>
      <c r="C412" s="13" t="s">
        <v>584</v>
      </c>
      <c r="D412" s="13" t="s">
        <v>582</v>
      </c>
      <c r="G412" s="13" t="b">
        <v>0</v>
      </c>
    </row>
    <row r="413" ht="15.75" customHeight="1">
      <c r="A413" s="13">
        <v>7.111000001E9</v>
      </c>
      <c r="B413" s="13">
        <v>7.111000001E9</v>
      </c>
      <c r="C413" s="13" t="s">
        <v>585</v>
      </c>
      <c r="D413" s="13" t="s">
        <v>536</v>
      </c>
      <c r="G413" s="13" t="b">
        <v>0</v>
      </c>
    </row>
    <row r="414" ht="15.75" customHeight="1">
      <c r="A414" s="13">
        <v>7.199001E9</v>
      </c>
      <c r="B414" s="13">
        <v>7.199001E9</v>
      </c>
      <c r="C414" s="13" t="s">
        <v>586</v>
      </c>
      <c r="D414" s="13" t="s">
        <v>536</v>
      </c>
      <c r="G414" s="13" t="b">
        <v>0</v>
      </c>
    </row>
    <row r="415" ht="15.75" customHeight="1">
      <c r="A415" s="13">
        <v>7.199002E9</v>
      </c>
      <c r="B415" s="13">
        <v>7.199002E9</v>
      </c>
      <c r="C415" s="13" t="s">
        <v>587</v>
      </c>
      <c r="D415" s="13" t="s">
        <v>536</v>
      </c>
      <c r="G415" s="13" t="b">
        <v>0</v>
      </c>
    </row>
    <row r="416" ht="15.75" customHeight="1">
      <c r="A416" s="13">
        <v>7.199003E9</v>
      </c>
      <c r="B416" s="13">
        <v>7.199003E9</v>
      </c>
      <c r="C416" s="13" t="s">
        <v>588</v>
      </c>
      <c r="D416" s="13" t="s">
        <v>536</v>
      </c>
      <c r="G416" s="13" t="b">
        <v>0</v>
      </c>
    </row>
    <row r="417" ht="15.75" customHeight="1">
      <c r="A417" s="13">
        <v>7.199004E9</v>
      </c>
      <c r="B417" s="13">
        <v>7.199004E9</v>
      </c>
      <c r="C417" s="13" t="s">
        <v>589</v>
      </c>
      <c r="D417" s="13" t="s">
        <v>536</v>
      </c>
      <c r="G417" s="13" t="b">
        <v>0</v>
      </c>
    </row>
    <row r="418" ht="15.75" customHeight="1">
      <c r="A418" s="13">
        <v>7.199005E9</v>
      </c>
      <c r="B418" s="13">
        <v>7.199005E9</v>
      </c>
      <c r="C418" s="13" t="s">
        <v>590</v>
      </c>
      <c r="D418" s="13" t="s">
        <v>536</v>
      </c>
      <c r="G418" s="13" t="b">
        <v>0</v>
      </c>
    </row>
    <row r="419" ht="15.75" customHeight="1">
      <c r="A419" s="13">
        <v>7.199006E9</v>
      </c>
      <c r="B419" s="13">
        <v>7.199006E9</v>
      </c>
      <c r="C419" s="13" t="s">
        <v>591</v>
      </c>
      <c r="D419" s="13" t="s">
        <v>536</v>
      </c>
      <c r="G419" s="13" t="b">
        <v>0</v>
      </c>
    </row>
    <row r="420" ht="15.75" customHeight="1">
      <c r="A420" s="13">
        <v>7.199007E9</v>
      </c>
      <c r="B420" s="13">
        <v>7.199007E9</v>
      </c>
      <c r="C420" s="13" t="s">
        <v>592</v>
      </c>
      <c r="D420" s="13" t="s">
        <v>536</v>
      </c>
      <c r="G420" s="13" t="b">
        <v>0</v>
      </c>
    </row>
    <row r="421" ht="15.75" customHeight="1">
      <c r="A421" s="13">
        <v>7.199008E9</v>
      </c>
      <c r="B421" s="13">
        <v>7.199008E9</v>
      </c>
      <c r="C421" s="13" t="s">
        <v>593</v>
      </c>
      <c r="D421" s="13" t="s">
        <v>536</v>
      </c>
      <c r="G421" s="13" t="b">
        <v>0</v>
      </c>
    </row>
    <row r="422" ht="15.75" customHeight="1">
      <c r="A422" s="13">
        <v>7.201001E9</v>
      </c>
      <c r="B422" s="13">
        <v>7.201001E9</v>
      </c>
      <c r="C422" s="13" t="s">
        <v>594</v>
      </c>
      <c r="D422" s="13" t="s">
        <v>536</v>
      </c>
      <c r="G422" s="13" t="b">
        <v>0</v>
      </c>
    </row>
    <row r="423" ht="15.75" customHeight="1">
      <c r="A423" s="13">
        <v>7.201002E9</v>
      </c>
      <c r="B423" s="13">
        <v>7.201002E9</v>
      </c>
      <c r="C423" s="13" t="s">
        <v>595</v>
      </c>
      <c r="D423" s="13" t="s">
        <v>536</v>
      </c>
      <c r="G423" s="13" t="b">
        <v>0</v>
      </c>
    </row>
    <row r="424" ht="15.75" customHeight="1">
      <c r="A424" s="13">
        <v>7.201003E9</v>
      </c>
      <c r="B424" s="13">
        <v>7.201003E9</v>
      </c>
      <c r="C424" s="13" t="s">
        <v>596</v>
      </c>
      <c r="D424" s="13" t="s">
        <v>536</v>
      </c>
      <c r="G424" s="13" t="b">
        <v>0</v>
      </c>
    </row>
    <row r="425" ht="15.75" customHeight="1">
      <c r="A425" s="13">
        <v>7.201004E9</v>
      </c>
      <c r="B425" s="13">
        <v>7.201004E9</v>
      </c>
      <c r="C425" s="13" t="s">
        <v>597</v>
      </c>
      <c r="D425" s="13" t="s">
        <v>536</v>
      </c>
      <c r="G425" s="13" t="b">
        <v>0</v>
      </c>
    </row>
    <row r="426" ht="15.75" customHeight="1">
      <c r="A426" s="13">
        <v>7.201005E9</v>
      </c>
      <c r="B426" s="13">
        <v>7.201005E9</v>
      </c>
      <c r="C426" s="13" t="s">
        <v>598</v>
      </c>
      <c r="D426" s="13" t="s">
        <v>536</v>
      </c>
      <c r="G426" s="13" t="b">
        <v>0</v>
      </c>
    </row>
    <row r="427" ht="15.75" customHeight="1">
      <c r="A427" s="13">
        <v>7.201006E9</v>
      </c>
      <c r="B427" s="13">
        <v>7.201006E9</v>
      </c>
      <c r="C427" s="13" t="s">
        <v>599</v>
      </c>
      <c r="D427" s="13" t="s">
        <v>536</v>
      </c>
      <c r="G427" s="13" t="b">
        <v>0</v>
      </c>
    </row>
    <row r="428" ht="15.75" customHeight="1">
      <c r="A428" s="13">
        <v>7.201007E9</v>
      </c>
      <c r="B428" s="13">
        <v>7.201007E9</v>
      </c>
      <c r="C428" s="13" t="s">
        <v>600</v>
      </c>
      <c r="D428" s="13" t="s">
        <v>536</v>
      </c>
      <c r="G428" s="13" t="b">
        <v>0</v>
      </c>
    </row>
    <row r="429" ht="15.75" customHeight="1">
      <c r="A429" s="13">
        <v>7.201008E9</v>
      </c>
      <c r="B429" s="13">
        <v>7.201008E9</v>
      </c>
      <c r="C429" s="13" t="s">
        <v>601</v>
      </c>
      <c r="D429" s="13" t="s">
        <v>536</v>
      </c>
      <c r="G429" s="13" t="b">
        <v>0</v>
      </c>
    </row>
    <row r="430" ht="15.75" customHeight="1">
      <c r="A430" s="13">
        <v>7.201009E9</v>
      </c>
      <c r="B430" s="13">
        <v>7.201009E9</v>
      </c>
      <c r="C430" s="13" t="s">
        <v>602</v>
      </c>
      <c r="D430" s="13" t="s">
        <v>536</v>
      </c>
      <c r="G430" s="13" t="b">
        <v>0</v>
      </c>
    </row>
    <row r="431" ht="15.75" customHeight="1">
      <c r="A431" s="13">
        <v>7.20101E9</v>
      </c>
      <c r="B431" s="13">
        <v>7.20101E9</v>
      </c>
      <c r="C431" s="13" t="s">
        <v>603</v>
      </c>
      <c r="D431" s="13" t="s">
        <v>536</v>
      </c>
      <c r="G431" s="13" t="b">
        <v>0</v>
      </c>
    </row>
    <row r="432" ht="15.75" customHeight="1">
      <c r="A432" s="13">
        <v>7.201011E9</v>
      </c>
      <c r="B432" s="13">
        <v>7.201011E9</v>
      </c>
      <c r="C432" s="13" t="s">
        <v>604</v>
      </c>
      <c r="D432" s="13" t="s">
        <v>536</v>
      </c>
      <c r="G432" s="13" t="b">
        <v>0</v>
      </c>
    </row>
    <row r="433" ht="15.75" customHeight="1">
      <c r="A433" s="13">
        <v>7.201012E9</v>
      </c>
      <c r="B433" s="13">
        <v>7.201012E9</v>
      </c>
      <c r="C433" s="13" t="s">
        <v>605</v>
      </c>
      <c r="D433" s="13" t="s">
        <v>536</v>
      </c>
      <c r="G433" s="13" t="b">
        <v>0</v>
      </c>
    </row>
    <row r="434" ht="15.75" customHeight="1">
      <c r="A434" s="13">
        <v>7.201013E9</v>
      </c>
      <c r="B434" s="13">
        <v>7.201013E9</v>
      </c>
      <c r="C434" s="13" t="s">
        <v>606</v>
      </c>
      <c r="D434" s="13" t="s">
        <v>536</v>
      </c>
      <c r="G434" s="13" t="b">
        <v>0</v>
      </c>
    </row>
    <row r="435" ht="15.75" customHeight="1">
      <c r="A435" s="13">
        <v>7.201014E9</v>
      </c>
      <c r="B435" s="13">
        <v>7.201014E9</v>
      </c>
      <c r="C435" s="13" t="s">
        <v>607</v>
      </c>
      <c r="D435" s="13" t="s">
        <v>536</v>
      </c>
      <c r="G435" s="13" t="b">
        <v>0</v>
      </c>
    </row>
    <row r="436" ht="15.75" customHeight="1">
      <c r="A436" s="13">
        <v>7.201015E9</v>
      </c>
      <c r="B436" s="13">
        <v>7.201015E9</v>
      </c>
      <c r="C436" s="13" t="s">
        <v>608</v>
      </c>
      <c r="D436" s="13" t="s">
        <v>536</v>
      </c>
      <c r="G436" s="13" t="b">
        <v>0</v>
      </c>
    </row>
    <row r="437" ht="15.75" customHeight="1">
      <c r="A437" s="13">
        <v>7.201016E9</v>
      </c>
      <c r="B437" s="13">
        <v>7.201016E9</v>
      </c>
      <c r="C437" s="13" t="s">
        <v>609</v>
      </c>
      <c r="D437" s="13" t="s">
        <v>536</v>
      </c>
      <c r="G437" s="13" t="b">
        <v>0</v>
      </c>
    </row>
    <row r="438" ht="15.75" customHeight="1">
      <c r="A438" s="13">
        <v>7.201017E9</v>
      </c>
      <c r="B438" s="13">
        <v>7.201017E9</v>
      </c>
      <c r="C438" s="13" t="s">
        <v>610</v>
      </c>
      <c r="D438" s="13" t="s">
        <v>536</v>
      </c>
      <c r="G438" s="13" t="b">
        <v>0</v>
      </c>
    </row>
    <row r="439" ht="15.75" customHeight="1">
      <c r="A439" s="13">
        <v>7.201018E9</v>
      </c>
      <c r="B439" s="13">
        <v>7.201018E9</v>
      </c>
      <c r="C439" s="13" t="s">
        <v>611</v>
      </c>
      <c r="D439" s="13" t="s">
        <v>536</v>
      </c>
      <c r="G439" s="13" t="b">
        <v>0</v>
      </c>
    </row>
    <row r="440" ht="15.75" customHeight="1">
      <c r="A440" s="13">
        <v>7.201019E9</v>
      </c>
      <c r="B440" s="13">
        <v>7.201019E9</v>
      </c>
      <c r="C440" s="13" t="s">
        <v>612</v>
      </c>
      <c r="D440" s="13" t="s">
        <v>536</v>
      </c>
      <c r="G440" s="13" t="b">
        <v>0</v>
      </c>
    </row>
    <row r="441" ht="15.75" customHeight="1">
      <c r="A441" s="13">
        <v>7.202001E9</v>
      </c>
      <c r="B441" s="13">
        <v>7.202001E9</v>
      </c>
      <c r="C441" s="13" t="s">
        <v>613</v>
      </c>
      <c r="D441" s="13" t="s">
        <v>536</v>
      </c>
      <c r="G441" s="13" t="b">
        <v>0</v>
      </c>
    </row>
    <row r="442" ht="15.75" customHeight="1">
      <c r="A442" s="13">
        <v>7.202002E9</v>
      </c>
      <c r="B442" s="13">
        <v>7.202002E9</v>
      </c>
      <c r="C442" s="13" t="s">
        <v>614</v>
      </c>
      <c r="D442" s="13" t="s">
        <v>536</v>
      </c>
      <c r="G442" s="13" t="b">
        <v>0</v>
      </c>
    </row>
    <row r="443" ht="15.75" customHeight="1">
      <c r="A443" s="13">
        <v>7.202003E9</v>
      </c>
      <c r="B443" s="13">
        <v>7.202003E9</v>
      </c>
      <c r="C443" s="13" t="s">
        <v>615</v>
      </c>
      <c r="D443" s="13" t="s">
        <v>536</v>
      </c>
      <c r="G443" s="13" t="b">
        <v>0</v>
      </c>
    </row>
    <row r="444" ht="15.75" customHeight="1">
      <c r="A444" s="13">
        <v>7.202004E9</v>
      </c>
      <c r="B444" s="13">
        <v>7.202004E9</v>
      </c>
      <c r="C444" s="13" t="s">
        <v>616</v>
      </c>
      <c r="D444" s="13" t="s">
        <v>536</v>
      </c>
      <c r="G444" s="13" t="b">
        <v>0</v>
      </c>
    </row>
    <row r="445" ht="15.75" customHeight="1">
      <c r="A445" s="13">
        <v>7.203001E9</v>
      </c>
      <c r="B445" s="13">
        <v>7.203001E9</v>
      </c>
      <c r="C445" s="13" t="s">
        <v>617</v>
      </c>
      <c r="D445" s="13" t="s">
        <v>536</v>
      </c>
      <c r="G445" s="13" t="b">
        <v>0</v>
      </c>
    </row>
    <row r="446" ht="15.75" customHeight="1">
      <c r="A446" s="13">
        <v>7.203002E9</v>
      </c>
      <c r="B446" s="13">
        <v>7.203002E9</v>
      </c>
      <c r="C446" s="13" t="s">
        <v>618</v>
      </c>
      <c r="D446" s="13" t="s">
        <v>536</v>
      </c>
      <c r="G446" s="13" t="b">
        <v>0</v>
      </c>
    </row>
    <row r="447" ht="15.75" customHeight="1">
      <c r="A447" s="13">
        <v>7.203003E9</v>
      </c>
      <c r="B447" s="13">
        <v>7.203003E9</v>
      </c>
      <c r="C447" s="13" t="s">
        <v>619</v>
      </c>
      <c r="D447" s="13" t="s">
        <v>536</v>
      </c>
      <c r="G447" s="13" t="b">
        <v>0</v>
      </c>
    </row>
    <row r="448" ht="15.75" customHeight="1">
      <c r="A448" s="13">
        <v>7.203004E9</v>
      </c>
      <c r="B448" s="13">
        <v>7.203004E9</v>
      </c>
      <c r="C448" s="13" t="s">
        <v>620</v>
      </c>
      <c r="D448" s="13" t="s">
        <v>536</v>
      </c>
      <c r="G448" s="13" t="b">
        <v>0</v>
      </c>
    </row>
    <row r="449" ht="15.75" customHeight="1">
      <c r="A449" s="13">
        <v>7.203005E9</v>
      </c>
      <c r="B449" s="13">
        <v>7.203005E9</v>
      </c>
      <c r="C449" s="13" t="s">
        <v>621</v>
      </c>
      <c r="D449" s="13" t="s">
        <v>536</v>
      </c>
      <c r="G449" s="13" t="b">
        <v>0</v>
      </c>
    </row>
    <row r="450" ht="15.75" customHeight="1">
      <c r="A450" s="13">
        <v>7.203006E9</v>
      </c>
      <c r="B450" s="13">
        <v>7.203006E9</v>
      </c>
      <c r="C450" s="13" t="s">
        <v>622</v>
      </c>
      <c r="D450" s="13" t="s">
        <v>536</v>
      </c>
      <c r="G450" s="13" t="b">
        <v>0</v>
      </c>
    </row>
    <row r="451" ht="15.75" customHeight="1">
      <c r="A451" s="13">
        <v>7.203007E9</v>
      </c>
      <c r="B451" s="13">
        <v>7.203007E9</v>
      </c>
      <c r="C451" s="13" t="s">
        <v>623</v>
      </c>
      <c r="D451" s="13" t="s">
        <v>536</v>
      </c>
      <c r="G451" s="13" t="b">
        <v>0</v>
      </c>
    </row>
    <row r="452" ht="15.75" customHeight="1">
      <c r="A452" s="13">
        <v>7.203008E9</v>
      </c>
      <c r="B452" s="13">
        <v>7.203008E9</v>
      </c>
      <c r="C452" s="13" t="s">
        <v>624</v>
      </c>
      <c r="D452" s="13" t="s">
        <v>536</v>
      </c>
      <c r="G452" s="13" t="b">
        <v>0</v>
      </c>
    </row>
    <row r="453" ht="15.75" customHeight="1">
      <c r="A453" s="13">
        <v>7.203099E9</v>
      </c>
      <c r="B453" s="13">
        <v>7.203099E9</v>
      </c>
      <c r="C453" s="13" t="s">
        <v>625</v>
      </c>
      <c r="D453" s="13" t="s">
        <v>536</v>
      </c>
      <c r="G453" s="13" t="b">
        <v>0</v>
      </c>
    </row>
    <row r="454" ht="15.75" customHeight="1">
      <c r="A454" s="13">
        <v>7.204101E9</v>
      </c>
      <c r="B454" s="13">
        <v>7.204101E9</v>
      </c>
      <c r="C454" s="13" t="s">
        <v>626</v>
      </c>
      <c r="D454" s="13" t="s">
        <v>582</v>
      </c>
      <c r="G454" s="13" t="b">
        <v>0</v>
      </c>
    </row>
    <row r="455" ht="15.75" customHeight="1">
      <c r="A455" s="13">
        <v>7.204102E9</v>
      </c>
      <c r="B455" s="13">
        <v>7.204102E9</v>
      </c>
      <c r="C455" s="13" t="s">
        <v>627</v>
      </c>
      <c r="D455" s="13" t="s">
        <v>582</v>
      </c>
      <c r="G455" s="13" t="b">
        <v>0</v>
      </c>
    </row>
    <row r="456" ht="15.75" customHeight="1">
      <c r="A456" s="13">
        <v>7.204103E9</v>
      </c>
      <c r="B456" s="13">
        <v>7.204103E9</v>
      </c>
      <c r="C456" s="13" t="s">
        <v>628</v>
      </c>
      <c r="D456" s="13" t="s">
        <v>582</v>
      </c>
      <c r="G456" s="13" t="b">
        <v>0</v>
      </c>
    </row>
    <row r="457" ht="15.75" customHeight="1">
      <c r="A457" s="13">
        <v>7.204104E9</v>
      </c>
      <c r="B457" s="13">
        <v>7.204104E9</v>
      </c>
      <c r="C457" s="13" t="s">
        <v>629</v>
      </c>
      <c r="D457" s="13" t="s">
        <v>582</v>
      </c>
      <c r="G457" s="13" t="b">
        <v>0</v>
      </c>
    </row>
    <row r="458" ht="15.75" customHeight="1">
      <c r="A458" s="13">
        <v>7.204105E9</v>
      </c>
      <c r="B458" s="13">
        <v>7.204105E9</v>
      </c>
      <c r="C458" s="13" t="s">
        <v>630</v>
      </c>
      <c r="D458" s="13" t="s">
        <v>582</v>
      </c>
      <c r="G458" s="13" t="b">
        <v>0</v>
      </c>
    </row>
    <row r="459" ht="15.75" customHeight="1">
      <c r="A459" s="13">
        <v>7.204199E9</v>
      </c>
      <c r="B459" s="13">
        <v>7.204199E9</v>
      </c>
      <c r="C459" s="13" t="s">
        <v>631</v>
      </c>
      <c r="D459" s="13" t="s">
        <v>582</v>
      </c>
      <c r="G459" s="13" t="b">
        <v>0</v>
      </c>
    </row>
    <row r="460" ht="15.75" customHeight="1">
      <c r="A460" s="13">
        <v>7.204201E9</v>
      </c>
      <c r="B460" s="13">
        <v>7.204201E9</v>
      </c>
      <c r="C460" s="13" t="s">
        <v>632</v>
      </c>
      <c r="D460" s="13" t="s">
        <v>582</v>
      </c>
      <c r="G460" s="13" t="b">
        <v>0</v>
      </c>
    </row>
    <row r="461" ht="15.75" customHeight="1">
      <c r="A461" s="13">
        <v>7.204202E9</v>
      </c>
      <c r="B461" s="13">
        <v>7.204202E9</v>
      </c>
      <c r="C461" s="13" t="s">
        <v>633</v>
      </c>
      <c r="D461" s="13" t="s">
        <v>582</v>
      </c>
      <c r="G461" s="13" t="b">
        <v>0</v>
      </c>
    </row>
    <row r="462" ht="15.75" customHeight="1">
      <c r="A462" s="13">
        <v>7.204203E9</v>
      </c>
      <c r="B462" s="13">
        <v>7.204203E9</v>
      </c>
      <c r="C462" s="13" t="s">
        <v>634</v>
      </c>
      <c r="D462" s="13" t="s">
        <v>582</v>
      </c>
      <c r="G462" s="13" t="b">
        <v>0</v>
      </c>
    </row>
    <row r="463" ht="15.75" customHeight="1">
      <c r="A463" s="13">
        <v>7.204204E9</v>
      </c>
      <c r="B463" s="13">
        <v>7.204204E9</v>
      </c>
      <c r="C463" s="13" t="s">
        <v>635</v>
      </c>
      <c r="D463" s="13" t="s">
        <v>582</v>
      </c>
      <c r="G463" s="13" t="b">
        <v>0</v>
      </c>
    </row>
    <row r="464" ht="15.75" customHeight="1">
      <c r="A464" s="13">
        <v>7.204205E9</v>
      </c>
      <c r="B464" s="13">
        <v>7.204205E9</v>
      </c>
      <c r="C464" s="13" t="s">
        <v>636</v>
      </c>
      <c r="D464" s="13" t="s">
        <v>582</v>
      </c>
      <c r="G464" s="13" t="b">
        <v>0</v>
      </c>
    </row>
    <row r="465" ht="15.75" customHeight="1">
      <c r="A465" s="13">
        <v>7.204299E9</v>
      </c>
      <c r="B465" s="13">
        <v>7.204299E9</v>
      </c>
      <c r="C465" s="13" t="s">
        <v>637</v>
      </c>
      <c r="D465" s="13" t="s">
        <v>582</v>
      </c>
      <c r="G465" s="13" t="b">
        <v>0</v>
      </c>
    </row>
    <row r="466" ht="15.75" customHeight="1">
      <c r="A466" s="13">
        <v>7.205001E9</v>
      </c>
      <c r="B466" s="13">
        <v>7.205001E9</v>
      </c>
      <c r="C466" s="13" t="s">
        <v>638</v>
      </c>
      <c r="D466" s="13" t="s">
        <v>582</v>
      </c>
      <c r="G466" s="13" t="b">
        <v>0</v>
      </c>
    </row>
    <row r="467" ht="15.75" customHeight="1">
      <c r="A467" s="13">
        <v>7.205002E9</v>
      </c>
      <c r="B467" s="13">
        <v>7.205002E9</v>
      </c>
      <c r="C467" s="13" t="s">
        <v>639</v>
      </c>
      <c r="D467" s="13" t="s">
        <v>582</v>
      </c>
      <c r="G467" s="13" t="b">
        <v>0</v>
      </c>
    </row>
    <row r="468" ht="15.75" customHeight="1">
      <c r="A468" s="13">
        <v>7.205003E9</v>
      </c>
      <c r="B468" s="13">
        <v>7.205003E9</v>
      </c>
      <c r="C468" s="13" t="s">
        <v>640</v>
      </c>
      <c r="D468" s="13" t="s">
        <v>582</v>
      </c>
      <c r="G468" s="13" t="b">
        <v>0</v>
      </c>
    </row>
    <row r="469" ht="15.75" customHeight="1">
      <c r="A469" s="13">
        <v>7.205004E9</v>
      </c>
      <c r="B469" s="13">
        <v>7.205004E9</v>
      </c>
      <c r="C469" s="13" t="s">
        <v>641</v>
      </c>
      <c r="D469" s="13" t="s">
        <v>582</v>
      </c>
      <c r="G469" s="13" t="b">
        <v>0</v>
      </c>
    </row>
    <row r="470" ht="15.75" customHeight="1">
      <c r="A470" s="13">
        <v>7.205005E9</v>
      </c>
      <c r="B470" s="13">
        <v>7.205005E9</v>
      </c>
      <c r="C470" s="13" t="s">
        <v>642</v>
      </c>
      <c r="D470" s="13" t="s">
        <v>582</v>
      </c>
      <c r="G470" s="13" t="b">
        <v>0</v>
      </c>
    </row>
    <row r="471" ht="15.75" customHeight="1">
      <c r="A471" s="13">
        <v>7.205099E9</v>
      </c>
      <c r="B471" s="13">
        <v>7.205099E9</v>
      </c>
      <c r="C471" s="13" t="s">
        <v>643</v>
      </c>
      <c r="D471" s="13" t="s">
        <v>582</v>
      </c>
      <c r="G471" s="13" t="b">
        <v>0</v>
      </c>
    </row>
    <row r="472" ht="15.75" customHeight="1">
      <c r="A472" s="13">
        <v>7.206001E9</v>
      </c>
      <c r="B472" s="13">
        <v>7.206001E9</v>
      </c>
      <c r="C472" s="13" t="s">
        <v>644</v>
      </c>
      <c r="D472" s="13" t="s">
        <v>582</v>
      </c>
      <c r="G472" s="13" t="b">
        <v>0</v>
      </c>
    </row>
    <row r="473" ht="15.75" customHeight="1">
      <c r="A473" s="13">
        <v>7.206002E9</v>
      </c>
      <c r="B473" s="13">
        <v>7.206002E9</v>
      </c>
      <c r="C473" s="13" t="s">
        <v>645</v>
      </c>
      <c r="D473" s="13" t="s">
        <v>582</v>
      </c>
      <c r="G473" s="13" t="b">
        <v>0</v>
      </c>
    </row>
    <row r="474" ht="15.75" customHeight="1">
      <c r="A474" s="13">
        <v>7.206003E9</v>
      </c>
      <c r="B474" s="13">
        <v>7.206003E9</v>
      </c>
      <c r="C474" s="13" t="s">
        <v>646</v>
      </c>
      <c r="D474" s="13" t="s">
        <v>582</v>
      </c>
      <c r="G474" s="13" t="b">
        <v>0</v>
      </c>
    </row>
    <row r="475" ht="15.75" customHeight="1">
      <c r="A475" s="13">
        <v>7.206004E9</v>
      </c>
      <c r="B475" s="13">
        <v>7.206004E9</v>
      </c>
      <c r="C475" s="13" t="s">
        <v>647</v>
      </c>
      <c r="D475" s="13" t="s">
        <v>582</v>
      </c>
      <c r="G475" s="13" t="b">
        <v>0</v>
      </c>
    </row>
    <row r="476" ht="15.75" customHeight="1">
      <c r="A476" s="13">
        <v>7.207001E9</v>
      </c>
      <c r="B476" s="13">
        <v>7.207001E9</v>
      </c>
      <c r="C476" s="13" t="s">
        <v>648</v>
      </c>
      <c r="D476" s="13" t="s">
        <v>536</v>
      </c>
      <c r="G476" s="13" t="b">
        <v>0</v>
      </c>
    </row>
    <row r="477" ht="15.75" customHeight="1">
      <c r="A477" s="13">
        <v>7.207002E9</v>
      </c>
      <c r="B477" s="13">
        <v>7.207002E9</v>
      </c>
      <c r="C477" s="13" t="s">
        <v>649</v>
      </c>
      <c r="D477" s="13" t="s">
        <v>536</v>
      </c>
      <c r="G477" s="13" t="b">
        <v>0</v>
      </c>
    </row>
    <row r="478" ht="15.75" customHeight="1">
      <c r="A478" s="13">
        <v>7.208000001E9</v>
      </c>
      <c r="B478" s="13">
        <v>7.208000001E9</v>
      </c>
      <c r="C478" s="13" t="s">
        <v>650</v>
      </c>
      <c r="D478" s="13" t="s">
        <v>536</v>
      </c>
      <c r="G478" s="13" t="b">
        <v>0</v>
      </c>
    </row>
    <row r="479" ht="15.75" customHeight="1">
      <c r="A479" s="13">
        <v>7.209001E9</v>
      </c>
      <c r="B479" s="13">
        <v>7.209001E9</v>
      </c>
      <c r="C479" s="13" t="s">
        <v>651</v>
      </c>
      <c r="D479" s="13" t="s">
        <v>536</v>
      </c>
      <c r="G479" s="13" t="b">
        <v>0</v>
      </c>
    </row>
    <row r="480" ht="15.75" customHeight="1">
      <c r="A480" s="13">
        <v>7.209002E9</v>
      </c>
      <c r="B480" s="13">
        <v>7.209002E9</v>
      </c>
      <c r="C480" s="13" t="s">
        <v>652</v>
      </c>
      <c r="D480" s="13" t="s">
        <v>536</v>
      </c>
      <c r="G480" s="13" t="b">
        <v>0</v>
      </c>
    </row>
    <row r="481" ht="15.75" customHeight="1">
      <c r="A481" s="13">
        <v>7.209003E9</v>
      </c>
      <c r="B481" s="13">
        <v>7.209003E9</v>
      </c>
      <c r="C481" s="13" t="s">
        <v>653</v>
      </c>
      <c r="D481" s="13" t="s">
        <v>536</v>
      </c>
      <c r="G481" s="13" t="b">
        <v>0</v>
      </c>
    </row>
    <row r="482" ht="15.75" customHeight="1">
      <c r="A482" s="13">
        <v>7.210001E9</v>
      </c>
      <c r="B482" s="13">
        <v>7.210001E9</v>
      </c>
      <c r="C482" s="13" t="s">
        <v>654</v>
      </c>
      <c r="D482" s="13" t="s">
        <v>536</v>
      </c>
      <c r="G482" s="13" t="b">
        <v>0</v>
      </c>
    </row>
    <row r="483" ht="15.75" customHeight="1">
      <c r="A483" s="13">
        <v>7.210002E9</v>
      </c>
      <c r="B483" s="13">
        <v>7.210002E9</v>
      </c>
      <c r="C483" s="13" t="s">
        <v>655</v>
      </c>
      <c r="D483" s="13" t="s">
        <v>536</v>
      </c>
      <c r="G483" s="13" t="b">
        <v>0</v>
      </c>
    </row>
    <row r="484" ht="15.75" customHeight="1">
      <c r="A484" s="13">
        <v>7.210003E9</v>
      </c>
      <c r="B484" s="13">
        <v>7.210003E9</v>
      </c>
      <c r="C484" s="13" t="s">
        <v>656</v>
      </c>
      <c r="D484" s="13" t="s">
        <v>536</v>
      </c>
      <c r="G484" s="13" t="b">
        <v>0</v>
      </c>
    </row>
    <row r="485" ht="15.75" customHeight="1">
      <c r="A485" s="13">
        <v>7.210004E9</v>
      </c>
      <c r="B485" s="13">
        <v>7.210004E9</v>
      </c>
      <c r="C485" s="13" t="s">
        <v>657</v>
      </c>
      <c r="D485" s="13" t="s">
        <v>536</v>
      </c>
      <c r="G485" s="13" t="b">
        <v>0</v>
      </c>
    </row>
    <row r="486" ht="15.75" customHeight="1">
      <c r="A486" s="13">
        <v>7.210005E9</v>
      </c>
      <c r="B486" s="13">
        <v>7.210005E9</v>
      </c>
      <c r="C486" s="13" t="s">
        <v>658</v>
      </c>
      <c r="D486" s="13" t="s">
        <v>536</v>
      </c>
      <c r="G486" s="13" t="b">
        <v>0</v>
      </c>
    </row>
    <row r="487" ht="15.75" customHeight="1">
      <c r="A487" s="13">
        <v>7.211001E9</v>
      </c>
      <c r="B487" s="13">
        <v>7.211001E9</v>
      </c>
      <c r="C487" s="13" t="s">
        <v>659</v>
      </c>
      <c r="D487" s="13" t="s">
        <v>536</v>
      </c>
      <c r="G487" s="13" t="b">
        <v>0</v>
      </c>
    </row>
    <row r="488" ht="15.75" customHeight="1">
      <c r="A488" s="13">
        <v>7.211002E9</v>
      </c>
      <c r="B488" s="13">
        <v>7.211002E9</v>
      </c>
      <c r="C488" s="13" t="s">
        <v>660</v>
      </c>
      <c r="D488" s="13" t="s">
        <v>536</v>
      </c>
      <c r="G488" s="13" t="b">
        <v>0</v>
      </c>
    </row>
    <row r="489" ht="15.75" customHeight="1">
      <c r="A489" s="13">
        <v>7.211003E9</v>
      </c>
      <c r="B489" s="13">
        <v>7.211003E9</v>
      </c>
      <c r="C489" s="13" t="s">
        <v>661</v>
      </c>
      <c r="D489" s="13" t="s">
        <v>536</v>
      </c>
      <c r="G489" s="13" t="b">
        <v>0</v>
      </c>
    </row>
    <row r="490" ht="15.75" customHeight="1">
      <c r="A490" s="13">
        <v>7.211003001E9</v>
      </c>
      <c r="B490" s="13">
        <v>7.211003001E9</v>
      </c>
      <c r="C490" s="13" t="s">
        <v>662</v>
      </c>
      <c r="D490" s="13" t="s">
        <v>536</v>
      </c>
      <c r="G490" s="13" t="b">
        <v>0</v>
      </c>
    </row>
    <row r="491" ht="15.75" customHeight="1">
      <c r="A491" s="13">
        <v>7.211004E9</v>
      </c>
      <c r="B491" s="13">
        <v>7.211004E9</v>
      </c>
      <c r="C491" s="13" t="s">
        <v>663</v>
      </c>
      <c r="D491" s="13" t="s">
        <v>536</v>
      </c>
      <c r="G491" s="13" t="b">
        <v>0</v>
      </c>
    </row>
    <row r="492" ht="15.75" customHeight="1">
      <c r="A492" s="13">
        <v>7.211005E9</v>
      </c>
      <c r="B492" s="13">
        <v>7.211005E9</v>
      </c>
      <c r="C492" s="13" t="s">
        <v>664</v>
      </c>
      <c r="D492" s="13" t="s">
        <v>536</v>
      </c>
      <c r="G492" s="13" t="b">
        <v>0</v>
      </c>
    </row>
    <row r="493" ht="15.75" customHeight="1">
      <c r="A493" s="13">
        <v>7.211006E9</v>
      </c>
      <c r="B493" s="13">
        <v>7.211006E9</v>
      </c>
      <c r="C493" s="13" t="s">
        <v>665</v>
      </c>
      <c r="D493" s="13" t="s">
        <v>536</v>
      </c>
      <c r="G493" s="13" t="b">
        <v>0</v>
      </c>
    </row>
    <row r="494" ht="15.75" customHeight="1">
      <c r="A494" s="13">
        <v>7.211007E9</v>
      </c>
      <c r="B494" s="13">
        <v>7.211007E9</v>
      </c>
      <c r="C494" s="13" t="s">
        <v>666</v>
      </c>
      <c r="D494" s="13" t="s">
        <v>536</v>
      </c>
      <c r="G494" s="13" t="b">
        <v>0</v>
      </c>
    </row>
    <row r="495" ht="15.75" customHeight="1">
      <c r="A495" s="13">
        <v>7.211008E9</v>
      </c>
      <c r="B495" s="13">
        <v>7.211008E9</v>
      </c>
      <c r="C495" s="13" t="s">
        <v>667</v>
      </c>
      <c r="D495" s="13" t="s">
        <v>536</v>
      </c>
      <c r="G495" s="13" t="b">
        <v>0</v>
      </c>
    </row>
    <row r="496" ht="15.75" customHeight="1">
      <c r="A496" s="13">
        <v>7.212001E9</v>
      </c>
      <c r="B496" s="13">
        <v>7.212001E9</v>
      </c>
      <c r="C496" s="13" t="s">
        <v>668</v>
      </c>
      <c r="D496" s="13" t="s">
        <v>536</v>
      </c>
      <c r="G496" s="13" t="b">
        <v>0</v>
      </c>
    </row>
    <row r="497" ht="15.75" customHeight="1">
      <c r="A497" s="13">
        <v>7.212002E9</v>
      </c>
      <c r="B497" s="13">
        <v>7.212002E9</v>
      </c>
      <c r="C497" s="13" t="s">
        <v>669</v>
      </c>
      <c r="D497" s="13" t="s">
        <v>536</v>
      </c>
      <c r="G497" s="13" t="b">
        <v>0</v>
      </c>
    </row>
    <row r="498" ht="15.75" customHeight="1">
      <c r="A498" s="13">
        <v>7.212003E9</v>
      </c>
      <c r="B498" s="13">
        <v>7.212003E9</v>
      </c>
      <c r="C498" s="13" t="s">
        <v>670</v>
      </c>
      <c r="D498" s="13" t="s">
        <v>536</v>
      </c>
      <c r="G498" s="13" t="b">
        <v>0</v>
      </c>
    </row>
    <row r="499" ht="15.75" customHeight="1">
      <c r="A499" s="13">
        <v>7.212004E9</v>
      </c>
      <c r="B499" s="13">
        <v>7.212004E9</v>
      </c>
      <c r="C499" s="13" t="s">
        <v>671</v>
      </c>
      <c r="D499" s="13" t="s">
        <v>536</v>
      </c>
      <c r="G499" s="13" t="b">
        <v>0</v>
      </c>
    </row>
    <row r="500" ht="15.75" customHeight="1">
      <c r="A500" s="13">
        <v>7.212005E9</v>
      </c>
      <c r="B500" s="13">
        <v>7.212005E9</v>
      </c>
      <c r="C500" s="13" t="s">
        <v>672</v>
      </c>
      <c r="D500" s="13" t="s">
        <v>536</v>
      </c>
      <c r="G500" s="13" t="b">
        <v>0</v>
      </c>
    </row>
    <row r="501" ht="15.75" customHeight="1">
      <c r="A501" s="13">
        <v>7.213001E9</v>
      </c>
      <c r="B501" s="13">
        <v>7.213001E9</v>
      </c>
      <c r="C501" s="13" t="s">
        <v>673</v>
      </c>
      <c r="D501" s="13" t="s">
        <v>536</v>
      </c>
      <c r="G501" s="13" t="b">
        <v>0</v>
      </c>
    </row>
    <row r="502" ht="15.75" customHeight="1">
      <c r="A502" s="13">
        <v>7.213002E9</v>
      </c>
      <c r="B502" s="13">
        <v>7.213002E9</v>
      </c>
      <c r="C502" s="13" t="s">
        <v>674</v>
      </c>
      <c r="D502" s="13" t="s">
        <v>536</v>
      </c>
      <c r="G502" s="13" t="b">
        <v>0</v>
      </c>
    </row>
    <row r="503" ht="15.75" customHeight="1">
      <c r="A503" s="13">
        <v>7.213003E9</v>
      </c>
      <c r="B503" s="13">
        <v>7.213003E9</v>
      </c>
      <c r="C503" s="13" t="s">
        <v>675</v>
      </c>
      <c r="D503" s="13" t="s">
        <v>536</v>
      </c>
      <c r="G503" s="13" t="b">
        <v>0</v>
      </c>
    </row>
    <row r="504" ht="15.75" customHeight="1">
      <c r="A504" s="13">
        <v>7.213004E9</v>
      </c>
      <c r="B504" s="13">
        <v>7.213004E9</v>
      </c>
      <c r="C504" s="13" t="s">
        <v>676</v>
      </c>
      <c r="D504" s="13" t="s">
        <v>536</v>
      </c>
      <c r="G504" s="13" t="b">
        <v>0</v>
      </c>
    </row>
    <row r="505" ht="15.75" customHeight="1">
      <c r="A505" s="13">
        <v>7.214001E9</v>
      </c>
      <c r="B505" s="13">
        <v>7.214001E9</v>
      </c>
      <c r="C505" s="13" t="s">
        <v>677</v>
      </c>
      <c r="D505" s="13" t="s">
        <v>536</v>
      </c>
      <c r="G505" s="13" t="b">
        <v>0</v>
      </c>
    </row>
    <row r="506" ht="15.75" customHeight="1">
      <c r="A506" s="13">
        <v>7.214002E9</v>
      </c>
      <c r="B506" s="13">
        <v>7.214002E9</v>
      </c>
      <c r="C506" s="13" t="s">
        <v>678</v>
      </c>
      <c r="D506" s="13" t="s">
        <v>536</v>
      </c>
      <c r="G506" s="13" t="b">
        <v>0</v>
      </c>
    </row>
    <row r="507" ht="15.75" customHeight="1">
      <c r="A507" s="13">
        <v>7.214003E9</v>
      </c>
      <c r="B507" s="13">
        <v>7.214003E9</v>
      </c>
      <c r="C507" s="13" t="s">
        <v>679</v>
      </c>
      <c r="D507" s="13" t="s">
        <v>536</v>
      </c>
      <c r="G507" s="13" t="b">
        <v>0</v>
      </c>
    </row>
    <row r="508" ht="15.75" customHeight="1">
      <c r="A508" s="13">
        <v>7.214004E9</v>
      </c>
      <c r="B508" s="13">
        <v>7.214004E9</v>
      </c>
      <c r="C508" s="13" t="s">
        <v>680</v>
      </c>
      <c r="D508" s="13" t="s">
        <v>536</v>
      </c>
      <c r="G508" s="13" t="b">
        <v>0</v>
      </c>
    </row>
    <row r="509" ht="15.75" customHeight="1">
      <c r="A509" s="13">
        <v>7.214005E9</v>
      </c>
      <c r="B509" s="13">
        <v>7.214005E9</v>
      </c>
      <c r="C509" s="13" t="s">
        <v>681</v>
      </c>
      <c r="D509" s="13" t="s">
        <v>536</v>
      </c>
      <c r="G509" s="13" t="b">
        <v>0</v>
      </c>
    </row>
    <row r="510" ht="15.75" customHeight="1">
      <c r="A510" s="13">
        <v>7.215001E9</v>
      </c>
      <c r="B510" s="13">
        <v>7.215001E9</v>
      </c>
      <c r="C510" s="13" t="s">
        <v>682</v>
      </c>
      <c r="D510" s="13" t="s">
        <v>536</v>
      </c>
      <c r="G510" s="13" t="b">
        <v>0</v>
      </c>
    </row>
    <row r="511" ht="15.75" customHeight="1">
      <c r="A511" s="13">
        <v>7.215002E9</v>
      </c>
      <c r="B511" s="13">
        <v>7.215002E9</v>
      </c>
      <c r="C511" s="13" t="s">
        <v>683</v>
      </c>
      <c r="D511" s="13" t="s">
        <v>536</v>
      </c>
      <c r="G511" s="13" t="b">
        <v>0</v>
      </c>
    </row>
    <row r="512" ht="15.75" customHeight="1">
      <c r="A512" s="13">
        <v>7.215003E9</v>
      </c>
      <c r="B512" s="13">
        <v>7.215003E9</v>
      </c>
      <c r="C512" s="13" t="s">
        <v>684</v>
      </c>
      <c r="D512" s="13" t="s">
        <v>536</v>
      </c>
      <c r="G512" s="13" t="b">
        <v>0</v>
      </c>
    </row>
    <row r="513" ht="15.75" customHeight="1">
      <c r="A513" s="13">
        <v>7.215004E9</v>
      </c>
      <c r="B513" s="13">
        <v>7.215004E9</v>
      </c>
      <c r="C513" s="13" t="s">
        <v>685</v>
      </c>
      <c r="D513" s="13" t="s">
        <v>536</v>
      </c>
      <c r="G513" s="13" t="b">
        <v>0</v>
      </c>
    </row>
    <row r="514" ht="15.75" customHeight="1">
      <c r="A514" s="13">
        <v>7.215005E9</v>
      </c>
      <c r="B514" s="13">
        <v>7.215005E9</v>
      </c>
      <c r="C514" s="13" t="s">
        <v>686</v>
      </c>
      <c r="D514" s="13" t="s">
        <v>536</v>
      </c>
      <c r="G514" s="13" t="b">
        <v>0</v>
      </c>
    </row>
    <row r="515" ht="15.75" customHeight="1">
      <c r="A515" s="13">
        <v>7.215006E9</v>
      </c>
      <c r="B515" s="13">
        <v>7.215006E9</v>
      </c>
      <c r="C515" s="13" t="s">
        <v>687</v>
      </c>
      <c r="D515" s="13" t="s">
        <v>536</v>
      </c>
      <c r="G515" s="13" t="b">
        <v>0</v>
      </c>
    </row>
    <row r="516" ht="15.75" customHeight="1">
      <c r="A516" s="13">
        <v>7.216000001E9</v>
      </c>
      <c r="B516" s="13">
        <v>7.216000001E9</v>
      </c>
      <c r="C516" s="13" t="s">
        <v>688</v>
      </c>
      <c r="D516" s="13" t="s">
        <v>536</v>
      </c>
      <c r="G516" s="13" t="b">
        <v>0</v>
      </c>
    </row>
    <row r="517" ht="15.75" customHeight="1">
      <c r="A517" s="13">
        <v>7.217000001E9</v>
      </c>
      <c r="B517" s="13">
        <v>7.217000001E9</v>
      </c>
      <c r="C517" s="13" t="s">
        <v>689</v>
      </c>
      <c r="D517" s="13" t="s">
        <v>536</v>
      </c>
      <c r="G517" s="13" t="b">
        <v>0</v>
      </c>
    </row>
    <row r="518" ht="15.75" customHeight="1">
      <c r="A518" s="13">
        <v>7.218000001E9</v>
      </c>
      <c r="B518" s="13">
        <v>7.218000001E9</v>
      </c>
      <c r="C518" s="13" t="s">
        <v>690</v>
      </c>
      <c r="D518" s="13" t="s">
        <v>536</v>
      </c>
      <c r="G518" s="13" t="b">
        <v>0</v>
      </c>
    </row>
    <row r="519" ht="15.75" customHeight="1">
      <c r="A519" s="13">
        <v>7.219000001E9</v>
      </c>
      <c r="B519" s="13">
        <v>7.219000001E9</v>
      </c>
      <c r="C519" s="13" t="s">
        <v>691</v>
      </c>
      <c r="D519" s="13" t="s">
        <v>536</v>
      </c>
      <c r="G519" s="13" t="b">
        <v>0</v>
      </c>
    </row>
    <row r="520" ht="15.75" customHeight="1">
      <c r="A520" s="13">
        <v>7.219000002E9</v>
      </c>
      <c r="B520" s="13">
        <v>7.219000002E9</v>
      </c>
      <c r="C520" s="13" t="s">
        <v>692</v>
      </c>
      <c r="D520" s="13" t="s">
        <v>536</v>
      </c>
      <c r="G520" s="13" t="b">
        <v>0</v>
      </c>
    </row>
    <row r="521" ht="15.75" customHeight="1">
      <c r="A521" s="13">
        <v>7.299001E9</v>
      </c>
      <c r="B521" s="13">
        <v>7.299001E9</v>
      </c>
      <c r="C521" s="13" t="s">
        <v>693</v>
      </c>
      <c r="D521" s="13" t="s">
        <v>536</v>
      </c>
      <c r="G521" s="13" t="b">
        <v>0</v>
      </c>
    </row>
    <row r="522" ht="15.75" customHeight="1">
      <c r="A522" s="13">
        <v>7.299002E9</v>
      </c>
      <c r="B522" s="13">
        <v>7.299002E9</v>
      </c>
      <c r="C522" s="13" t="s">
        <v>694</v>
      </c>
      <c r="D522" s="13" t="s">
        <v>536</v>
      </c>
      <c r="G522" s="13" t="b">
        <v>0</v>
      </c>
    </row>
    <row r="523" ht="15.75" customHeight="1">
      <c r="A523" s="13">
        <v>7.299003E9</v>
      </c>
      <c r="B523" s="13">
        <v>7.299003E9</v>
      </c>
      <c r="C523" s="13" t="s">
        <v>695</v>
      </c>
      <c r="D523" s="13" t="s">
        <v>536</v>
      </c>
      <c r="G523" s="13" t="b">
        <v>0</v>
      </c>
    </row>
    <row r="524" ht="15.75" customHeight="1">
      <c r="A524" s="13">
        <v>7.299004E9</v>
      </c>
      <c r="B524" s="13">
        <v>7.299004E9</v>
      </c>
      <c r="C524" s="13" t="s">
        <v>696</v>
      </c>
      <c r="D524" s="13" t="s">
        <v>536</v>
      </c>
      <c r="G524" s="13" t="b">
        <v>0</v>
      </c>
    </row>
    <row r="525" ht="15.75" customHeight="1">
      <c r="A525" s="13">
        <v>7.299005E9</v>
      </c>
      <c r="B525" s="13">
        <v>7.299005E9</v>
      </c>
      <c r="C525" s="13" t="s">
        <v>697</v>
      </c>
      <c r="D525" s="13" t="s">
        <v>536</v>
      </c>
      <c r="G525" s="13" t="b">
        <v>0</v>
      </c>
    </row>
    <row r="526" ht="15.75" customHeight="1">
      <c r="A526" s="13">
        <v>7.299006E9</v>
      </c>
      <c r="B526" s="13">
        <v>7.299006E9</v>
      </c>
      <c r="C526" s="13" t="s">
        <v>698</v>
      </c>
      <c r="D526" s="13" t="s">
        <v>536</v>
      </c>
      <c r="G526" s="13" t="b">
        <v>0</v>
      </c>
    </row>
    <row r="527" ht="15.75" customHeight="1">
      <c r="A527" s="13">
        <v>7.299007E9</v>
      </c>
      <c r="B527" s="13">
        <v>7.299007E9</v>
      </c>
      <c r="C527" s="13" t="s">
        <v>699</v>
      </c>
      <c r="D527" s="13" t="s">
        <v>536</v>
      </c>
      <c r="G527" s="13" t="b">
        <v>0</v>
      </c>
    </row>
    <row r="528" ht="15.75" customHeight="1">
      <c r="A528" s="13">
        <v>7.299008E9</v>
      </c>
      <c r="B528" s="13">
        <v>7.299008E9</v>
      </c>
      <c r="C528" s="13" t="s">
        <v>700</v>
      </c>
      <c r="D528" s="13" t="s">
        <v>536</v>
      </c>
      <c r="G528" s="13" t="b">
        <v>0</v>
      </c>
    </row>
    <row r="529" ht="15.75" customHeight="1">
      <c r="A529" s="13">
        <v>7.299009E9</v>
      </c>
      <c r="B529" s="13">
        <v>7.299009E9</v>
      </c>
      <c r="C529" s="13" t="s">
        <v>701</v>
      </c>
      <c r="D529" s="13" t="s">
        <v>536</v>
      </c>
      <c r="G529" s="13" t="b">
        <v>0</v>
      </c>
    </row>
    <row r="530" ht="15.75" customHeight="1">
      <c r="A530" s="13">
        <v>7.29901E9</v>
      </c>
      <c r="B530" s="13">
        <v>7.29901E9</v>
      </c>
      <c r="C530" s="13" t="s">
        <v>702</v>
      </c>
      <c r="D530" s="13" t="s">
        <v>536</v>
      </c>
      <c r="G530" s="13" t="b">
        <v>0</v>
      </c>
    </row>
    <row r="531" ht="15.75" customHeight="1">
      <c r="A531" s="13">
        <v>7.299011E9</v>
      </c>
      <c r="B531" s="13">
        <v>7.299011E9</v>
      </c>
      <c r="C531" s="13" t="s">
        <v>703</v>
      </c>
      <c r="D531" s="13" t="s">
        <v>536</v>
      </c>
      <c r="G531" s="13" t="b">
        <v>0</v>
      </c>
    </row>
    <row r="532" ht="15.75" customHeight="1">
      <c r="A532" s="13">
        <v>7.299012E9</v>
      </c>
      <c r="B532" s="13">
        <v>7.299012E9</v>
      </c>
      <c r="C532" s="13" t="s">
        <v>704</v>
      </c>
      <c r="D532" s="13" t="s">
        <v>536</v>
      </c>
      <c r="G532" s="13" t="b">
        <v>0</v>
      </c>
    </row>
    <row r="533" ht="15.75" customHeight="1">
      <c r="A533" s="13">
        <v>7.299099E9</v>
      </c>
      <c r="B533" s="13">
        <v>7.299099E9</v>
      </c>
      <c r="C533" s="13" t="s">
        <v>705</v>
      </c>
      <c r="D533" s="13" t="s">
        <v>536</v>
      </c>
      <c r="G533" s="13" t="b">
        <v>0</v>
      </c>
    </row>
    <row r="534" ht="15.75" customHeight="1">
      <c r="A534" s="13">
        <v>7.501000001E9</v>
      </c>
      <c r="B534" s="13">
        <v>7.501000001E9</v>
      </c>
      <c r="C534" s="13" t="s">
        <v>706</v>
      </c>
      <c r="G534" s="13" t="b">
        <v>0</v>
      </c>
    </row>
    <row r="535" ht="15.75" customHeight="1">
      <c r="A535" s="13">
        <v>7.501000002E9</v>
      </c>
      <c r="B535" s="13">
        <v>7.501000002E9</v>
      </c>
      <c r="C535" s="13" t="s">
        <v>707</v>
      </c>
      <c r="G535" s="13" t="b">
        <v>0</v>
      </c>
    </row>
    <row r="536" ht="15.75" customHeight="1">
      <c r="A536" s="13">
        <v>7.601E9</v>
      </c>
      <c r="B536" s="13">
        <v>7.601E9</v>
      </c>
      <c r="C536" s="13" t="s">
        <v>708</v>
      </c>
      <c r="D536" s="13" t="s">
        <v>709</v>
      </c>
      <c r="G536" s="13" t="b">
        <v>0</v>
      </c>
    </row>
    <row r="537" ht="15.75" customHeight="1">
      <c r="A537" s="13">
        <v>7.601000099E9</v>
      </c>
      <c r="B537" s="13">
        <v>7.601000099E9</v>
      </c>
      <c r="C537" s="13" t="s">
        <v>710</v>
      </c>
      <c r="D537" s="13" t="s">
        <v>709</v>
      </c>
      <c r="G537" s="13" t="b">
        <v>0</v>
      </c>
    </row>
    <row r="538" ht="15.75" customHeight="1">
      <c r="A538" s="13">
        <v>7.602E9</v>
      </c>
      <c r="B538" s="13">
        <v>7.602E9</v>
      </c>
      <c r="C538" s="13" t="s">
        <v>711</v>
      </c>
      <c r="D538" s="13" t="s">
        <v>709</v>
      </c>
      <c r="G538" s="13" t="b">
        <v>0</v>
      </c>
    </row>
    <row r="539" ht="15.75" customHeight="1">
      <c r="A539" s="13">
        <v>7.603E9</v>
      </c>
      <c r="B539" s="13">
        <v>7.603E9</v>
      </c>
      <c r="C539" s="13" t="s">
        <v>712</v>
      </c>
      <c r="D539" s="13" t="s">
        <v>709</v>
      </c>
      <c r="G539" s="13" t="b">
        <v>0</v>
      </c>
    </row>
    <row r="540" ht="15.75" customHeight="1">
      <c r="A540" s="13">
        <v>7.604E9</v>
      </c>
      <c r="B540" s="13">
        <v>7.604E9</v>
      </c>
      <c r="C540" s="13" t="s">
        <v>713</v>
      </c>
      <c r="D540" s="13" t="s">
        <v>709</v>
      </c>
      <c r="G540" s="13" t="b">
        <v>0</v>
      </c>
    </row>
    <row r="541" ht="15.75" customHeight="1">
      <c r="A541" s="13">
        <v>7.605E9</v>
      </c>
      <c r="B541" s="13">
        <v>7.605E9</v>
      </c>
      <c r="C541" s="13" t="s">
        <v>714</v>
      </c>
      <c r="D541" s="13" t="s">
        <v>709</v>
      </c>
      <c r="G541" s="13" t="b">
        <v>0</v>
      </c>
    </row>
    <row r="542" ht="15.75" customHeight="1">
      <c r="A542" s="13">
        <v>7.605000001E9</v>
      </c>
      <c r="B542" s="13">
        <v>7.605000001E9</v>
      </c>
      <c r="C542" s="13" t="s">
        <v>715</v>
      </c>
      <c r="D542" s="13" t="s">
        <v>709</v>
      </c>
      <c r="G542" s="13" t="b">
        <v>0</v>
      </c>
    </row>
    <row r="543" ht="15.75" customHeight="1">
      <c r="A543" s="13">
        <v>7.606E9</v>
      </c>
      <c r="B543" s="13">
        <v>7.606E9</v>
      </c>
      <c r="C543" s="13" t="s">
        <v>716</v>
      </c>
      <c r="D543" s="13" t="s">
        <v>709</v>
      </c>
      <c r="G543" s="13" t="b">
        <v>0</v>
      </c>
    </row>
    <row r="544" ht="15.75" customHeight="1">
      <c r="A544" s="13">
        <v>7.607E9</v>
      </c>
      <c r="B544" s="13">
        <v>7.607E9</v>
      </c>
      <c r="C544" s="13" t="s">
        <v>717</v>
      </c>
      <c r="D544" s="13" t="s">
        <v>709</v>
      </c>
      <c r="G544" s="13" t="b">
        <v>0</v>
      </c>
    </row>
    <row r="545" ht="15.75" customHeight="1">
      <c r="A545" s="13">
        <v>7.608E9</v>
      </c>
      <c r="B545" s="13">
        <v>7.608E9</v>
      </c>
      <c r="C545" s="13" t="s">
        <v>718</v>
      </c>
      <c r="D545" s="13" t="s">
        <v>709</v>
      </c>
      <c r="G545" s="13" t="b">
        <v>0</v>
      </c>
    </row>
    <row r="546" ht="15.75" customHeight="1">
      <c r="A546" s="13">
        <v>7.609E9</v>
      </c>
      <c r="B546" s="13">
        <v>7.609E9</v>
      </c>
      <c r="C546" s="13" t="s">
        <v>719</v>
      </c>
      <c r="D546" s="13" t="s">
        <v>709</v>
      </c>
      <c r="G546" s="13" t="b">
        <v>0</v>
      </c>
    </row>
    <row r="547" ht="15.75" customHeight="1">
      <c r="A547" s="13">
        <v>7.61E9</v>
      </c>
      <c r="B547" s="13">
        <v>7.61E9</v>
      </c>
      <c r="C547" s="13" t="s">
        <v>720</v>
      </c>
      <c r="D547" s="13" t="s">
        <v>709</v>
      </c>
      <c r="G547" s="13" t="b">
        <v>0</v>
      </c>
    </row>
    <row r="548" ht="15.75" customHeight="1">
      <c r="A548" s="13">
        <v>7.611E9</v>
      </c>
      <c r="B548" s="13">
        <v>7.611E9</v>
      </c>
      <c r="C548" s="13" t="s">
        <v>721</v>
      </c>
      <c r="D548" s="13" t="s">
        <v>709</v>
      </c>
      <c r="G548" s="13" t="b">
        <v>0</v>
      </c>
    </row>
    <row r="549" ht="15.75" customHeight="1">
      <c r="A549" s="13">
        <v>7.699E9</v>
      </c>
      <c r="B549" s="13">
        <v>7.699E9</v>
      </c>
      <c r="C549" s="13" t="s">
        <v>722</v>
      </c>
      <c r="D549" s="13" t="s">
        <v>709</v>
      </c>
      <c r="G549" s="13" t="b">
        <v>0</v>
      </c>
    </row>
    <row r="550" ht="15.75" customHeight="1">
      <c r="A550" s="13">
        <v>7.701E9</v>
      </c>
      <c r="B550" s="13">
        <v>7.701E9</v>
      </c>
      <c r="C550" s="13" t="s">
        <v>723</v>
      </c>
      <c r="D550" s="13" t="s">
        <v>536</v>
      </c>
      <c r="G550" s="13" t="b">
        <v>0</v>
      </c>
    </row>
    <row r="551" ht="15.75" customHeight="1">
      <c r="A551" s="13">
        <v>7.702E9</v>
      </c>
      <c r="B551" s="13">
        <v>7.702E9</v>
      </c>
      <c r="C551" s="13" t="s">
        <v>724</v>
      </c>
      <c r="D551" s="13" t="s">
        <v>536</v>
      </c>
      <c r="G551" s="13" t="b">
        <v>0</v>
      </c>
    </row>
    <row r="552" ht="15.75" customHeight="1">
      <c r="A552" s="13">
        <v>7.703E9</v>
      </c>
      <c r="B552" s="13">
        <v>7.703E9</v>
      </c>
      <c r="C552" s="13" t="s">
        <v>725</v>
      </c>
      <c r="D552" s="13" t="s">
        <v>536</v>
      </c>
      <c r="G552" s="13" t="b">
        <v>0</v>
      </c>
    </row>
    <row r="553" ht="15.75" customHeight="1">
      <c r="A553" s="13">
        <v>7.704E9</v>
      </c>
      <c r="B553" s="13">
        <v>7.704E9</v>
      </c>
      <c r="C553" s="13" t="s">
        <v>726</v>
      </c>
      <c r="D553" s="13" t="s">
        <v>536</v>
      </c>
      <c r="G553" s="13" t="b">
        <v>0</v>
      </c>
    </row>
    <row r="554" ht="15.75" customHeight="1">
      <c r="A554" s="13">
        <v>7.705E9</v>
      </c>
      <c r="B554" s="13">
        <v>7.705E9</v>
      </c>
      <c r="C554" s="13" t="s">
        <v>727</v>
      </c>
      <c r="D554" s="13" t="s">
        <v>536</v>
      </c>
      <c r="G554" s="13" t="b">
        <v>0</v>
      </c>
    </row>
    <row r="555" ht="15.75" customHeight="1">
      <c r="A555" s="13">
        <v>7.706E9</v>
      </c>
      <c r="B555" s="13">
        <v>7.706E9</v>
      </c>
      <c r="C555" s="13" t="s">
        <v>728</v>
      </c>
      <c r="D555" s="13" t="s">
        <v>536</v>
      </c>
      <c r="G555" s="13" t="b">
        <v>0</v>
      </c>
    </row>
    <row r="556" ht="15.75" customHeight="1">
      <c r="A556" s="13">
        <v>7.707E9</v>
      </c>
      <c r="B556" s="13">
        <v>7.707E9</v>
      </c>
      <c r="C556" s="13" t="s">
        <v>729</v>
      </c>
      <c r="D556" s="13" t="s">
        <v>536</v>
      </c>
      <c r="G556" s="13" t="b">
        <v>0</v>
      </c>
    </row>
    <row r="557" ht="15.75" customHeight="1">
      <c r="A557" s="13">
        <v>7.708E9</v>
      </c>
      <c r="B557" s="13">
        <v>7.708E9</v>
      </c>
      <c r="C557" s="13" t="s">
        <v>730</v>
      </c>
      <c r="D557" s="13" t="s">
        <v>536</v>
      </c>
      <c r="G557" s="13" t="b">
        <v>0</v>
      </c>
    </row>
    <row r="558" ht="15.75" customHeight="1">
      <c r="A558" s="13">
        <v>7.709E9</v>
      </c>
      <c r="B558" s="13">
        <v>7.709E9</v>
      </c>
      <c r="C558" s="13" t="s">
        <v>731</v>
      </c>
      <c r="D558" s="13" t="s">
        <v>536</v>
      </c>
      <c r="G558" s="13" t="b">
        <v>0</v>
      </c>
    </row>
    <row r="559" ht="15.75" customHeight="1">
      <c r="A559" s="13">
        <v>7.799E9</v>
      </c>
      <c r="B559" s="13">
        <v>7.799E9</v>
      </c>
      <c r="C559" s="13" t="s">
        <v>732</v>
      </c>
      <c r="D559" s="13" t="s">
        <v>536</v>
      </c>
      <c r="G559" s="13" t="b">
        <v>0</v>
      </c>
    </row>
    <row r="560" ht="15.75" customHeight="1">
      <c r="A560" s="13">
        <v>7.801E9</v>
      </c>
      <c r="B560" s="13">
        <v>7.801E9</v>
      </c>
      <c r="C560" s="13" t="s">
        <v>733</v>
      </c>
      <c r="D560" s="13" t="s">
        <v>709</v>
      </c>
      <c r="G560" s="13" t="b">
        <v>0</v>
      </c>
    </row>
    <row r="561" ht="15.75" customHeight="1">
      <c r="A561" s="13">
        <v>7.802E9</v>
      </c>
      <c r="B561" s="13">
        <v>7.802E9</v>
      </c>
      <c r="C561" s="13" t="s">
        <v>734</v>
      </c>
      <c r="D561" s="13" t="s">
        <v>709</v>
      </c>
      <c r="G561" s="13" t="b">
        <v>0</v>
      </c>
    </row>
    <row r="562" ht="15.75" customHeight="1">
      <c r="A562" s="13">
        <v>7.803E9</v>
      </c>
      <c r="B562" s="13">
        <v>7.803E9</v>
      </c>
      <c r="C562" s="13" t="s">
        <v>735</v>
      </c>
      <c r="D562" s="13" t="s">
        <v>709</v>
      </c>
      <c r="G562" s="13" t="b">
        <v>0</v>
      </c>
    </row>
    <row r="563" ht="15.75" customHeight="1">
      <c r="A563" s="13">
        <v>7.804E9</v>
      </c>
      <c r="B563" s="13">
        <v>7.804E9</v>
      </c>
      <c r="C563" s="13" t="s">
        <v>736</v>
      </c>
      <c r="D563" s="13" t="s">
        <v>709</v>
      </c>
      <c r="G563" s="13" t="b">
        <v>0</v>
      </c>
    </row>
    <row r="564" ht="15.75" customHeight="1">
      <c r="A564" s="13">
        <v>7.805E9</v>
      </c>
      <c r="B564" s="13">
        <v>7.805E9</v>
      </c>
      <c r="C564" s="13" t="s">
        <v>737</v>
      </c>
      <c r="D564" s="13" t="s">
        <v>709</v>
      </c>
      <c r="G564" s="13" t="b">
        <v>0</v>
      </c>
    </row>
    <row r="565" ht="15.75" customHeight="1">
      <c r="A565" s="13">
        <v>7.901E9</v>
      </c>
      <c r="B565" s="13">
        <v>7.901E9</v>
      </c>
      <c r="C565" s="13" t="s">
        <v>738</v>
      </c>
      <c r="D565" s="13" t="s">
        <v>536</v>
      </c>
      <c r="G565" s="13" t="b">
        <v>0</v>
      </c>
    </row>
    <row r="566" ht="15.75" customHeight="1">
      <c r="A566" s="13">
        <v>7.902E9</v>
      </c>
      <c r="B566" s="13">
        <v>7.902E9</v>
      </c>
      <c r="C566" s="13" t="s">
        <v>739</v>
      </c>
      <c r="D566" s="13" t="s">
        <v>536</v>
      </c>
      <c r="G566" s="13" t="b">
        <v>0</v>
      </c>
    </row>
    <row r="567" ht="15.75" customHeight="1">
      <c r="A567" s="13">
        <v>7.903E9</v>
      </c>
      <c r="B567" s="13">
        <v>7.903E9</v>
      </c>
      <c r="C567" s="13" t="s">
        <v>740</v>
      </c>
      <c r="D567" s="13" t="s">
        <v>536</v>
      </c>
      <c r="G567" s="13" t="b">
        <v>0</v>
      </c>
    </row>
    <row r="568" ht="15.75" customHeight="1">
      <c r="A568" s="13">
        <v>7.904E9</v>
      </c>
      <c r="B568" s="13">
        <v>7.904E9</v>
      </c>
      <c r="C568" s="13" t="s">
        <v>741</v>
      </c>
      <c r="D568" s="13" t="s">
        <v>536</v>
      </c>
      <c r="G568" s="13" t="b">
        <v>0</v>
      </c>
    </row>
    <row r="569" ht="15.75" customHeight="1">
      <c r="A569" s="13">
        <v>8.100000001E9</v>
      </c>
      <c r="B569" s="13">
        <v>8.100000001E9</v>
      </c>
      <c r="C569" s="13" t="s">
        <v>742</v>
      </c>
      <c r="D569" s="13" t="s">
        <v>536</v>
      </c>
      <c r="G569" s="13" t="b">
        <v>0</v>
      </c>
    </row>
    <row r="570" ht="15.75" customHeight="1">
      <c r="A570" s="13">
        <v>8.200000001E9</v>
      </c>
      <c r="B570" s="13">
        <v>8.200000001E9</v>
      </c>
      <c r="C570" s="13" t="s">
        <v>743</v>
      </c>
      <c r="D570" s="13" t="s">
        <v>536</v>
      </c>
      <c r="G570" s="13" t="b">
        <v>0</v>
      </c>
    </row>
    <row r="571" ht="15.75" customHeight="1">
      <c r="A571" s="13">
        <v>8.300000001E9</v>
      </c>
      <c r="B571" s="13">
        <v>8.300000001E9</v>
      </c>
      <c r="C571" s="13" t="s">
        <v>744</v>
      </c>
      <c r="D571" s="13" t="s">
        <v>709</v>
      </c>
      <c r="G571" s="13" t="b">
        <v>0</v>
      </c>
    </row>
    <row r="572" ht="15.75" customHeight="1">
      <c r="A572" s="13">
        <v>8.300000002E9</v>
      </c>
      <c r="B572" s="13">
        <v>8.300000002E9</v>
      </c>
      <c r="C572" s="13" t="s">
        <v>745</v>
      </c>
      <c r="D572" s="13" t="s">
        <v>709</v>
      </c>
      <c r="G572" s="13" t="b">
        <v>0</v>
      </c>
    </row>
    <row r="573" ht="15.75" customHeight="1">
      <c r="A573" s="13">
        <v>8.300000003E9</v>
      </c>
      <c r="B573" s="13">
        <v>8.300000003E9</v>
      </c>
      <c r="C573" s="13" t="s">
        <v>746</v>
      </c>
      <c r="D573" s="13" t="s">
        <v>709</v>
      </c>
      <c r="G573" s="13" t="b">
        <v>0</v>
      </c>
    </row>
    <row r="574" ht="15.75" customHeight="1">
      <c r="A574" s="13">
        <v>8.300000004E9</v>
      </c>
      <c r="B574" s="13">
        <v>8.300000004E9</v>
      </c>
      <c r="C574" s="13" t="s">
        <v>747</v>
      </c>
      <c r="D574" s="13" t="s">
        <v>709</v>
      </c>
      <c r="G574" s="13" t="b">
        <v>0</v>
      </c>
    </row>
    <row r="575" ht="15.75" customHeight="1">
      <c r="A575" s="13">
        <v>8.300000005E9</v>
      </c>
      <c r="B575" s="13">
        <v>8.300000005E9</v>
      </c>
      <c r="C575" s="13" t="s">
        <v>748</v>
      </c>
      <c r="D575" s="13" t="s">
        <v>709</v>
      </c>
      <c r="G575" s="13" t="b">
        <v>0</v>
      </c>
    </row>
    <row r="576" ht="15.75" customHeight="1">
      <c r="A576" s="13">
        <v>8.300000006E9</v>
      </c>
      <c r="B576" s="13">
        <v>8.300000006E9</v>
      </c>
      <c r="C576" s="13" t="s">
        <v>749</v>
      </c>
      <c r="D576" s="13" t="s">
        <v>709</v>
      </c>
      <c r="G576" s="13" t="b">
        <v>0</v>
      </c>
    </row>
    <row r="577" ht="15.75" customHeight="1">
      <c r="A577" s="13">
        <v>8.300000091E9</v>
      </c>
      <c r="B577" s="13">
        <v>8.300000091E9</v>
      </c>
      <c r="C577" s="13" t="s">
        <v>750</v>
      </c>
      <c r="G577" s="13" t="b">
        <v>0</v>
      </c>
    </row>
    <row r="578" ht="15.75" customHeight="1">
      <c r="A578" s="13">
        <v>8.300000092E9</v>
      </c>
      <c r="B578" s="13">
        <v>8.300000092E9</v>
      </c>
      <c r="C578" s="13" t="s">
        <v>751</v>
      </c>
      <c r="G578" s="13" t="b">
        <v>0</v>
      </c>
    </row>
    <row r="579" ht="15.75" customHeight="1">
      <c r="A579" s="13">
        <v>8.800000001E9</v>
      </c>
      <c r="B579" s="13">
        <v>8.800000001E9</v>
      </c>
      <c r="C579" s="13" t="s">
        <v>752</v>
      </c>
      <c r="G579" s="13" t="b">
        <v>0</v>
      </c>
    </row>
    <row r="580" ht="15.75" customHeight="1">
      <c r="A580" s="13">
        <v>8.900000001E9</v>
      </c>
      <c r="B580" s="13">
        <v>8.900000001E9</v>
      </c>
      <c r="C580" s="13" t="s">
        <v>753</v>
      </c>
      <c r="G580" s="13" t="b">
        <v>0</v>
      </c>
    </row>
    <row r="581" ht="15.75" customHeight="1">
      <c r="A581" s="13">
        <v>1.212300001E9</v>
      </c>
      <c r="B581" s="13">
        <v>1.212300001E9</v>
      </c>
      <c r="C581" s="13" t="s">
        <v>754</v>
      </c>
      <c r="D581" s="13" t="s">
        <v>316</v>
      </c>
      <c r="G581" s="13" t="b">
        <v>0</v>
      </c>
    </row>
    <row r="582" ht="15.75" customHeight="1">
      <c r="A582" s="13">
        <v>1.120000001E9</v>
      </c>
      <c r="B582" s="13">
        <v>1.120000001E9</v>
      </c>
      <c r="C582" s="13" t="s">
        <v>755</v>
      </c>
      <c r="D582" s="13" t="s">
        <v>316</v>
      </c>
      <c r="G582" s="13" t="b">
        <v>0</v>
      </c>
    </row>
    <row r="583" ht="15.75" customHeight="1">
      <c r="A583" s="13">
        <v>7.806E9</v>
      </c>
      <c r="B583" s="13">
        <v>7.806E9</v>
      </c>
      <c r="C583" s="13" t="s">
        <v>756</v>
      </c>
      <c r="D583" s="13" t="s">
        <v>709</v>
      </c>
      <c r="G583" s="13" t="b">
        <v>0</v>
      </c>
    </row>
    <row r="584" ht="15.75" customHeight="1">
      <c r="A584" s="13">
        <v>1.212300002E9</v>
      </c>
      <c r="B584" s="13">
        <v>1.212300002E9</v>
      </c>
      <c r="C584" s="13" t="s">
        <v>757</v>
      </c>
      <c r="D584" s="13" t="s">
        <v>536</v>
      </c>
      <c r="G584" s="13" t="b">
        <v>0</v>
      </c>
    </row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2" width="18.0"/>
    <col customWidth="1" min="3" max="3" width="31.0"/>
    <col customWidth="1" min="4" max="6" width="18.0"/>
    <col customWidth="1" min="7" max="7" width="23.0"/>
    <col customWidth="1" min="8" max="8" width="24.0"/>
    <col customWidth="1" min="9" max="9" width="18.0"/>
    <col customWidth="1" min="10" max="10" width="26.0"/>
    <col customWidth="1" min="11" max="11" width="23.0"/>
    <col customWidth="1" min="12" max="12" width="31.0"/>
    <col customWidth="1" min="13" max="13" width="30.0"/>
    <col customWidth="1" min="14" max="14" width="18.0"/>
    <col customWidth="1" min="15" max="26" width="8.71"/>
  </cols>
  <sheetData>
    <row r="1">
      <c r="A1" s="1" t="s">
        <v>758</v>
      </c>
    </row>
    <row r="2" ht="37.5" customHeight="1">
      <c r="A2" s="3" t="s">
        <v>759</v>
      </c>
    </row>
    <row r="4">
      <c r="A4" s="4" t="s">
        <v>4</v>
      </c>
      <c r="B4" s="4" t="s">
        <v>5</v>
      </c>
      <c r="C4" s="4" t="s">
        <v>760</v>
      </c>
      <c r="D4" s="4" t="s">
        <v>761</v>
      </c>
      <c r="E4" s="4" t="s">
        <v>762</v>
      </c>
      <c r="F4" s="4" t="s">
        <v>763</v>
      </c>
      <c r="G4" s="4" t="s">
        <v>764</v>
      </c>
      <c r="H4" s="4" t="s">
        <v>765</v>
      </c>
      <c r="I4" s="4" t="s">
        <v>766</v>
      </c>
      <c r="J4" s="4" t="s">
        <v>767</v>
      </c>
      <c r="K4" s="4" t="s">
        <v>768</v>
      </c>
      <c r="L4" s="4" t="s">
        <v>769</v>
      </c>
      <c r="M4" s="4" t="s">
        <v>770</v>
      </c>
      <c r="N4" s="4" t="s">
        <v>771</v>
      </c>
    </row>
    <row r="5">
      <c r="A5" s="5" t="s">
        <v>75</v>
      </c>
      <c r="B5" s="5" t="s">
        <v>772</v>
      </c>
      <c r="C5" s="6" t="s">
        <v>773</v>
      </c>
      <c r="D5" s="5" t="s">
        <v>774</v>
      </c>
      <c r="E5" s="5" t="s">
        <v>775</v>
      </c>
      <c r="F5" s="5" t="s">
        <v>776</v>
      </c>
      <c r="G5" s="5" t="s">
        <v>777</v>
      </c>
      <c r="H5" s="6" t="s">
        <v>778</v>
      </c>
      <c r="I5" s="5" t="s">
        <v>779</v>
      </c>
      <c r="J5" s="6" t="s">
        <v>780</v>
      </c>
      <c r="K5" s="6" t="s">
        <v>781</v>
      </c>
      <c r="L5" s="6" t="s">
        <v>782</v>
      </c>
      <c r="M5" s="6" t="s">
        <v>783</v>
      </c>
      <c r="N5" s="6" t="s">
        <v>784</v>
      </c>
    </row>
    <row r="6">
      <c r="A6" s="7" t="s">
        <v>36</v>
      </c>
      <c r="B6" s="7" t="s">
        <v>36</v>
      </c>
      <c r="C6" s="7" t="s">
        <v>38</v>
      </c>
      <c r="D6" s="7" t="s">
        <v>36</v>
      </c>
      <c r="E6" s="7" t="s">
        <v>36</v>
      </c>
      <c r="F6" s="7" t="s">
        <v>36</v>
      </c>
      <c r="G6" s="7" t="s">
        <v>36</v>
      </c>
      <c r="H6" s="7" t="s">
        <v>38</v>
      </c>
      <c r="I6" s="7" t="s">
        <v>36</v>
      </c>
      <c r="J6" s="7" t="s">
        <v>38</v>
      </c>
      <c r="K6" s="7" t="s">
        <v>38</v>
      </c>
      <c r="L6" s="7" t="s">
        <v>38</v>
      </c>
      <c r="M6" s="7" t="s">
        <v>38</v>
      </c>
      <c r="N6" s="7" t="s">
        <v>38</v>
      </c>
    </row>
    <row r="7" ht="90.0" customHeight="1">
      <c r="A7" s="8" t="s">
        <v>785</v>
      </c>
      <c r="B7" s="8"/>
      <c r="C7" s="8"/>
      <c r="D7" s="8" t="s">
        <v>786</v>
      </c>
      <c r="E7" s="8" t="s">
        <v>787</v>
      </c>
      <c r="F7" s="8" t="s">
        <v>788</v>
      </c>
      <c r="G7" s="8" t="s">
        <v>789</v>
      </c>
      <c r="H7" s="8" t="s">
        <v>790</v>
      </c>
      <c r="I7" s="8" t="s">
        <v>791</v>
      </c>
      <c r="J7" s="8" t="s">
        <v>792</v>
      </c>
      <c r="K7" s="8" t="s">
        <v>793</v>
      </c>
      <c r="L7" s="8" t="s">
        <v>794</v>
      </c>
      <c r="M7" s="8" t="s">
        <v>794</v>
      </c>
      <c r="N7" s="8" t="s">
        <v>795</v>
      </c>
    </row>
    <row r="8">
      <c r="A8" s="9" t="s">
        <v>796</v>
      </c>
      <c r="B8" s="9" t="s">
        <v>797</v>
      </c>
      <c r="C8" s="9" t="s">
        <v>798</v>
      </c>
      <c r="D8" s="9" t="s">
        <v>799</v>
      </c>
      <c r="E8" s="9" t="s">
        <v>800</v>
      </c>
      <c r="F8" s="9">
        <v>12.0</v>
      </c>
      <c r="G8" s="9" t="s">
        <v>801</v>
      </c>
      <c r="H8" s="9">
        <v>0.9166666667</v>
      </c>
      <c r="I8" s="9" t="s">
        <v>802</v>
      </c>
      <c r="J8" s="9" t="s">
        <v>803</v>
      </c>
      <c r="K8" s="9" t="s">
        <v>63</v>
      </c>
      <c r="L8" s="9" t="s">
        <v>135</v>
      </c>
      <c r="M8" s="9" t="s">
        <v>135</v>
      </c>
      <c r="N8" s="9" t="s">
        <v>56</v>
      </c>
    </row>
    <row r="9">
      <c r="A9" s="9" t="s">
        <v>804</v>
      </c>
      <c r="B9" s="9" t="s">
        <v>805</v>
      </c>
      <c r="C9" s="9" t="s">
        <v>798</v>
      </c>
      <c r="D9" s="9" t="s">
        <v>806</v>
      </c>
      <c r="E9" s="9" t="s">
        <v>800</v>
      </c>
      <c r="F9" s="9">
        <v>12.0</v>
      </c>
      <c r="G9" s="9" t="s">
        <v>801</v>
      </c>
      <c r="H9" s="9">
        <v>0.9166666667</v>
      </c>
      <c r="I9" s="9" t="s">
        <v>802</v>
      </c>
      <c r="J9" s="9" t="s">
        <v>803</v>
      </c>
      <c r="K9" s="9" t="s">
        <v>63</v>
      </c>
      <c r="L9" s="9" t="s">
        <v>119</v>
      </c>
      <c r="M9" s="9" t="s">
        <v>119</v>
      </c>
      <c r="N9" s="9" t="s">
        <v>56</v>
      </c>
    </row>
    <row r="10">
      <c r="A10" s="9" t="s">
        <v>807</v>
      </c>
      <c r="B10" s="9" t="s">
        <v>808</v>
      </c>
      <c r="C10" s="9" t="s">
        <v>809</v>
      </c>
      <c r="D10" s="9" t="s">
        <v>799</v>
      </c>
      <c r="E10" s="9" t="s">
        <v>800</v>
      </c>
      <c r="F10" s="9">
        <v>12.0</v>
      </c>
      <c r="G10" s="9" t="s">
        <v>801</v>
      </c>
      <c r="H10" s="9">
        <v>0.0</v>
      </c>
      <c r="I10" s="9" t="s">
        <v>802</v>
      </c>
      <c r="J10" s="9" t="s">
        <v>803</v>
      </c>
      <c r="K10" s="9" t="s">
        <v>63</v>
      </c>
      <c r="L10" s="9" t="s">
        <v>135</v>
      </c>
      <c r="M10" s="9" t="s">
        <v>135</v>
      </c>
      <c r="N10" s="9" t="s">
        <v>56</v>
      </c>
    </row>
    <row r="11">
      <c r="A11" s="9" t="s">
        <v>810</v>
      </c>
      <c r="B11" s="9" t="s">
        <v>811</v>
      </c>
      <c r="C11" s="9" t="s">
        <v>812</v>
      </c>
      <c r="D11" s="9" t="s">
        <v>806</v>
      </c>
      <c r="E11" s="9" t="s">
        <v>800</v>
      </c>
      <c r="F11" s="9">
        <v>-2.0</v>
      </c>
      <c r="G11" s="9" t="s">
        <v>813</v>
      </c>
      <c r="H11" s="9">
        <v>0.0</v>
      </c>
      <c r="I11" s="9" t="s">
        <v>814</v>
      </c>
      <c r="J11" s="9" t="s">
        <v>803</v>
      </c>
      <c r="K11" s="9" t="s">
        <v>63</v>
      </c>
      <c r="L11" s="9" t="s">
        <v>139</v>
      </c>
      <c r="M11" s="9" t="s">
        <v>139</v>
      </c>
      <c r="N11" s="9" t="s">
        <v>56</v>
      </c>
    </row>
    <row r="12">
      <c r="A12" s="9" t="s">
        <v>815</v>
      </c>
      <c r="B12" s="9" t="s">
        <v>816</v>
      </c>
      <c r="C12" s="9" t="s">
        <v>817</v>
      </c>
      <c r="D12" s="9" t="s">
        <v>806</v>
      </c>
      <c r="E12" s="9" t="s">
        <v>800</v>
      </c>
      <c r="F12" s="9">
        <v>-2.5</v>
      </c>
      <c r="G12" s="9" t="s">
        <v>818</v>
      </c>
      <c r="H12" s="9">
        <v>0.0</v>
      </c>
      <c r="I12" s="9" t="s">
        <v>819</v>
      </c>
      <c r="J12" s="9" t="s">
        <v>803</v>
      </c>
      <c r="K12" s="9" t="s">
        <v>63</v>
      </c>
      <c r="L12" s="9" t="s">
        <v>142</v>
      </c>
      <c r="M12" s="9" t="s">
        <v>142</v>
      </c>
      <c r="N12" s="9" t="s">
        <v>56</v>
      </c>
    </row>
    <row r="13">
      <c r="A13" s="9" t="s">
        <v>820</v>
      </c>
      <c r="B13" s="9" t="s">
        <v>821</v>
      </c>
      <c r="C13" s="9" t="s">
        <v>821</v>
      </c>
      <c r="D13" s="9" t="s">
        <v>806</v>
      </c>
      <c r="E13" s="9" t="s">
        <v>800</v>
      </c>
      <c r="F13" s="9">
        <v>12.0</v>
      </c>
      <c r="G13" s="9" t="s">
        <v>801</v>
      </c>
      <c r="H13" s="9">
        <v>0.0</v>
      </c>
      <c r="I13" s="9" t="s">
        <v>822</v>
      </c>
      <c r="J13" s="9" t="s">
        <v>803</v>
      </c>
      <c r="K13" s="9" t="s">
        <v>63</v>
      </c>
      <c r="L13" s="9" t="s">
        <v>119</v>
      </c>
      <c r="M13" s="9" t="s">
        <v>119</v>
      </c>
      <c r="N13" s="9" t="s">
        <v>56</v>
      </c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4" width="18.0"/>
    <col customWidth="1" min="5" max="5" width="31.0"/>
    <col customWidth="1" min="6" max="6" width="32.0"/>
    <col customWidth="1" min="7" max="7" width="18.0"/>
    <col customWidth="1" min="8" max="8" width="28.0"/>
    <col customWidth="1" min="9" max="9" width="26.0"/>
    <col customWidth="1" min="10" max="11" width="20.0"/>
    <col customWidth="1" min="12" max="12" width="18.0"/>
    <col customWidth="1" min="13" max="26" width="8.71"/>
  </cols>
  <sheetData>
    <row r="1">
      <c r="A1" s="1" t="s">
        <v>823</v>
      </c>
    </row>
    <row r="2" ht="37.5" customHeight="1">
      <c r="A2" s="3" t="s">
        <v>824</v>
      </c>
    </row>
    <row r="4">
      <c r="A4" s="4" t="s">
        <v>4</v>
      </c>
      <c r="B4" s="4" t="s">
        <v>5</v>
      </c>
      <c r="C4" s="4" t="s">
        <v>66</v>
      </c>
      <c r="D4" s="4" t="s">
        <v>825</v>
      </c>
      <c r="E4" s="4" t="s">
        <v>826</v>
      </c>
      <c r="F4" s="4" t="s">
        <v>827</v>
      </c>
      <c r="G4" s="4" t="s">
        <v>7</v>
      </c>
      <c r="H4" s="4" t="s">
        <v>828</v>
      </c>
      <c r="I4" s="4" t="s">
        <v>829</v>
      </c>
      <c r="J4" s="4" t="s">
        <v>830</v>
      </c>
      <c r="K4" s="4" t="s">
        <v>831</v>
      </c>
      <c r="L4" s="4" t="s">
        <v>760</v>
      </c>
    </row>
    <row r="5">
      <c r="A5" s="5" t="s">
        <v>75</v>
      </c>
      <c r="B5" s="5" t="s">
        <v>832</v>
      </c>
      <c r="C5" s="5" t="s">
        <v>833</v>
      </c>
      <c r="D5" s="5" t="s">
        <v>774</v>
      </c>
      <c r="E5" s="6" t="s">
        <v>834</v>
      </c>
      <c r="F5" s="6" t="s">
        <v>835</v>
      </c>
      <c r="G5" s="6" t="s">
        <v>836</v>
      </c>
      <c r="H5" s="6" t="s">
        <v>837</v>
      </c>
      <c r="I5" s="6" t="s">
        <v>838</v>
      </c>
      <c r="J5" s="6" t="s">
        <v>839</v>
      </c>
      <c r="K5" s="6" t="s">
        <v>840</v>
      </c>
      <c r="L5" s="6" t="s">
        <v>841</v>
      </c>
    </row>
    <row r="6">
      <c r="A6" s="7" t="s">
        <v>36</v>
      </c>
      <c r="B6" s="7" t="s">
        <v>36</v>
      </c>
      <c r="C6" s="7" t="s">
        <v>36</v>
      </c>
      <c r="D6" s="7" t="s">
        <v>36</v>
      </c>
      <c r="E6" s="7" t="s">
        <v>37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38</v>
      </c>
      <c r="K6" s="7" t="s">
        <v>38</v>
      </c>
      <c r="L6" s="7" t="s">
        <v>38</v>
      </c>
    </row>
    <row r="7" ht="90.0" customHeight="1">
      <c r="A7" s="8" t="s">
        <v>842</v>
      </c>
      <c r="B7" s="8"/>
      <c r="C7" s="8" t="s">
        <v>843</v>
      </c>
      <c r="D7" s="8" t="s">
        <v>844</v>
      </c>
      <c r="E7" s="8" t="s">
        <v>845</v>
      </c>
      <c r="F7" s="8" t="s">
        <v>846</v>
      </c>
      <c r="G7" s="8" t="s">
        <v>847</v>
      </c>
      <c r="H7" s="8" t="s">
        <v>793</v>
      </c>
      <c r="I7" s="8" t="s">
        <v>848</v>
      </c>
      <c r="J7" s="8" t="s">
        <v>849</v>
      </c>
      <c r="K7" s="8" t="s">
        <v>850</v>
      </c>
      <c r="L7" s="8"/>
    </row>
    <row r="8">
      <c r="A8" s="9" t="s">
        <v>57</v>
      </c>
      <c r="B8" s="9" t="s">
        <v>851</v>
      </c>
      <c r="C8" s="9" t="s">
        <v>852</v>
      </c>
      <c r="D8" s="9" t="s">
        <v>799</v>
      </c>
      <c r="E8" s="9"/>
      <c r="F8" s="9"/>
      <c r="G8" s="9" t="s">
        <v>54</v>
      </c>
      <c r="H8" s="9" t="s">
        <v>56</v>
      </c>
      <c r="I8" s="9" t="s">
        <v>56</v>
      </c>
      <c r="J8" s="9" t="s">
        <v>853</v>
      </c>
      <c r="K8" s="9">
        <v>5.0</v>
      </c>
      <c r="L8" s="9" t="s">
        <v>854</v>
      </c>
    </row>
    <row r="9">
      <c r="A9" s="9" t="s">
        <v>855</v>
      </c>
      <c r="B9" s="9" t="s">
        <v>856</v>
      </c>
      <c r="C9" s="9" t="s">
        <v>857</v>
      </c>
      <c r="D9" s="9" t="s">
        <v>799</v>
      </c>
      <c r="E9" s="9"/>
      <c r="F9" s="9"/>
      <c r="G9" s="9" t="s">
        <v>54</v>
      </c>
      <c r="H9" s="9" t="s">
        <v>56</v>
      </c>
      <c r="I9" s="9" t="s">
        <v>56</v>
      </c>
      <c r="J9" s="9" t="s">
        <v>858</v>
      </c>
      <c r="K9" s="9">
        <v>5.0</v>
      </c>
      <c r="L9" s="9"/>
    </row>
    <row r="10">
      <c r="A10" s="9" t="s">
        <v>58</v>
      </c>
      <c r="B10" s="9" t="s">
        <v>859</v>
      </c>
      <c r="C10" s="9" t="s">
        <v>860</v>
      </c>
      <c r="D10" s="9" t="s">
        <v>806</v>
      </c>
      <c r="E10" s="9"/>
      <c r="F10" s="9"/>
      <c r="G10" s="9" t="s">
        <v>54</v>
      </c>
      <c r="H10" s="9" t="s">
        <v>56</v>
      </c>
      <c r="I10" s="9" t="s">
        <v>56</v>
      </c>
      <c r="J10" s="9" t="s">
        <v>861</v>
      </c>
      <c r="K10" s="9">
        <v>5.0</v>
      </c>
      <c r="L10" s="9" t="s">
        <v>862</v>
      </c>
    </row>
    <row r="11">
      <c r="A11" s="9" t="s">
        <v>863</v>
      </c>
      <c r="B11" s="9" t="s">
        <v>96</v>
      </c>
      <c r="C11" s="9" t="s">
        <v>864</v>
      </c>
      <c r="D11" s="9" t="s">
        <v>865</v>
      </c>
      <c r="E11" s="9" t="s">
        <v>94</v>
      </c>
      <c r="F11" s="9"/>
      <c r="G11" s="9" t="s">
        <v>54</v>
      </c>
      <c r="H11" s="9" t="s">
        <v>63</v>
      </c>
      <c r="I11" s="9" t="s">
        <v>56</v>
      </c>
      <c r="J11" s="9"/>
      <c r="K11" s="9">
        <v>5.0</v>
      </c>
      <c r="L11" s="9"/>
    </row>
    <row r="12">
      <c r="A12" s="9" t="s">
        <v>866</v>
      </c>
      <c r="B12" s="9" t="s">
        <v>867</v>
      </c>
      <c r="C12" s="9" t="s">
        <v>868</v>
      </c>
      <c r="D12" s="9" t="s">
        <v>869</v>
      </c>
      <c r="E12" s="9" t="s">
        <v>99</v>
      </c>
      <c r="F12" s="9" t="s">
        <v>110</v>
      </c>
      <c r="G12" s="9" t="s">
        <v>54</v>
      </c>
      <c r="H12" s="9" t="s">
        <v>63</v>
      </c>
      <c r="I12" s="9" t="s">
        <v>56</v>
      </c>
      <c r="J12" s="9"/>
      <c r="K12" s="9">
        <v>5.0</v>
      </c>
      <c r="L12" s="9"/>
    </row>
    <row r="13">
      <c r="A13" s="9" t="s">
        <v>870</v>
      </c>
      <c r="B13" s="9" t="s">
        <v>871</v>
      </c>
      <c r="C13" s="9" t="s">
        <v>872</v>
      </c>
      <c r="D13" s="9" t="s">
        <v>873</v>
      </c>
      <c r="E13" s="9"/>
      <c r="F13" s="9"/>
      <c r="G13" s="9" t="s">
        <v>54</v>
      </c>
      <c r="H13" s="9" t="s">
        <v>63</v>
      </c>
      <c r="I13" s="9" t="s">
        <v>63</v>
      </c>
      <c r="J13" s="9"/>
      <c r="K13" s="9">
        <v>5.0</v>
      </c>
      <c r="L13" s="9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3" width="18.0"/>
    <col customWidth="1" min="4" max="4" width="30.0"/>
    <col customWidth="1" min="5" max="5" width="37.0"/>
    <col customWidth="1" min="6" max="7" width="38.0"/>
    <col customWidth="1" min="8" max="26" width="8.71"/>
  </cols>
  <sheetData>
    <row r="1">
      <c r="A1" s="1" t="s">
        <v>874</v>
      </c>
    </row>
    <row r="2" ht="37.5" customHeight="1">
      <c r="A2" s="3" t="s">
        <v>875</v>
      </c>
    </row>
    <row r="4">
      <c r="A4" s="4" t="s">
        <v>4</v>
      </c>
      <c r="B4" s="4" t="s">
        <v>5</v>
      </c>
      <c r="C4" s="4" t="s">
        <v>66</v>
      </c>
      <c r="D4" s="4" t="s">
        <v>876</v>
      </c>
      <c r="E4" s="4" t="s">
        <v>877</v>
      </c>
      <c r="F4" s="4" t="s">
        <v>878</v>
      </c>
      <c r="G4" s="4" t="s">
        <v>879</v>
      </c>
    </row>
    <row r="5">
      <c r="A5" s="5" t="s">
        <v>75</v>
      </c>
      <c r="B5" s="5" t="s">
        <v>880</v>
      </c>
      <c r="C5" s="6" t="s">
        <v>833</v>
      </c>
      <c r="D5" s="5" t="s">
        <v>881</v>
      </c>
      <c r="E5" s="5" t="s">
        <v>882</v>
      </c>
      <c r="F5" s="5" t="s">
        <v>883</v>
      </c>
      <c r="G5" s="5" t="s">
        <v>884</v>
      </c>
    </row>
    <row r="6">
      <c r="A6" s="7" t="s">
        <v>36</v>
      </c>
      <c r="B6" s="7" t="s">
        <v>36</v>
      </c>
      <c r="C6" s="7" t="s">
        <v>38</v>
      </c>
      <c r="D6" s="7" t="s">
        <v>36</v>
      </c>
      <c r="E6" s="7" t="s">
        <v>36</v>
      </c>
      <c r="F6" s="7" t="s">
        <v>36</v>
      </c>
      <c r="G6" s="7" t="s">
        <v>36</v>
      </c>
    </row>
    <row r="7" ht="90.0" customHeight="1">
      <c r="A7" s="8" t="s">
        <v>885</v>
      </c>
      <c r="B7" s="8"/>
      <c r="C7" s="8"/>
      <c r="D7" s="8" t="s">
        <v>886</v>
      </c>
      <c r="E7" s="8" t="s">
        <v>887</v>
      </c>
      <c r="F7" s="8" t="s">
        <v>888</v>
      </c>
      <c r="G7" s="8" t="s">
        <v>888</v>
      </c>
    </row>
    <row r="8">
      <c r="A8" s="9" t="s">
        <v>889</v>
      </c>
      <c r="B8" s="9" t="s">
        <v>890</v>
      </c>
      <c r="C8" s="9" t="s">
        <v>891</v>
      </c>
      <c r="D8" s="9">
        <v>48.0</v>
      </c>
      <c r="E8" s="9" t="s">
        <v>122</v>
      </c>
      <c r="F8" s="9" t="s">
        <v>127</v>
      </c>
      <c r="G8" s="9" t="s">
        <v>185</v>
      </c>
    </row>
    <row r="9">
      <c r="A9" s="9" t="s">
        <v>892</v>
      </c>
      <c r="B9" s="9" t="s">
        <v>893</v>
      </c>
      <c r="C9" s="9" t="s">
        <v>894</v>
      </c>
      <c r="D9" s="9">
        <v>96.0</v>
      </c>
      <c r="E9" s="9"/>
      <c r="F9" s="9"/>
      <c r="G9" s="9"/>
    </row>
    <row r="10">
      <c r="A10" s="9" t="s">
        <v>895</v>
      </c>
      <c r="B10" s="9" t="s">
        <v>896</v>
      </c>
      <c r="C10" s="9" t="s">
        <v>897</v>
      </c>
      <c r="D10" s="9">
        <v>60.0</v>
      </c>
      <c r="E10" s="9"/>
      <c r="F10" s="9"/>
      <c r="G10" s="9"/>
    </row>
    <row r="11">
      <c r="A11" s="11"/>
      <c r="B11" s="11"/>
      <c r="C11" s="11"/>
      <c r="D11" s="11"/>
      <c r="E11" s="11"/>
      <c r="F11" s="11"/>
      <c r="G11" s="11"/>
    </row>
    <row r="12">
      <c r="A12" s="11"/>
      <c r="B12" s="11"/>
      <c r="C12" s="11"/>
      <c r="D12" s="11"/>
      <c r="E12" s="11"/>
      <c r="F12" s="11"/>
      <c r="G12" s="11"/>
    </row>
    <row r="13">
      <c r="A13" s="11"/>
      <c r="B13" s="11"/>
      <c r="C13" s="11"/>
      <c r="D13" s="11"/>
      <c r="E13" s="11"/>
      <c r="F13" s="11"/>
      <c r="G13" s="11"/>
    </row>
    <row r="14">
      <c r="A14" s="11"/>
      <c r="B14" s="11"/>
      <c r="C14" s="11"/>
      <c r="D14" s="11"/>
      <c r="E14" s="11"/>
      <c r="F14" s="11"/>
      <c r="G14" s="11"/>
    </row>
    <row r="15">
      <c r="A15" s="11"/>
      <c r="B15" s="11"/>
      <c r="C15" s="11"/>
      <c r="D15" s="11"/>
      <c r="E15" s="11"/>
      <c r="F15" s="11"/>
      <c r="G15" s="11"/>
    </row>
    <row r="16">
      <c r="A16" s="11"/>
      <c r="B16" s="11"/>
      <c r="C16" s="11"/>
      <c r="D16" s="11"/>
      <c r="E16" s="11"/>
      <c r="F16" s="11"/>
      <c r="G16" s="11"/>
    </row>
    <row r="17">
      <c r="A17" s="11"/>
      <c r="B17" s="11"/>
      <c r="C17" s="11"/>
      <c r="D17" s="11"/>
      <c r="E17" s="11"/>
      <c r="F17" s="11"/>
      <c r="G17" s="11"/>
    </row>
    <row r="18">
      <c r="A18" s="11"/>
      <c r="B18" s="11"/>
      <c r="C18" s="11"/>
      <c r="D18" s="11"/>
      <c r="E18" s="11"/>
      <c r="F18" s="11"/>
      <c r="G18" s="11"/>
    </row>
    <row r="19">
      <c r="A19" s="11"/>
      <c r="B19" s="11"/>
      <c r="C19" s="11"/>
      <c r="D19" s="11"/>
      <c r="E19" s="11"/>
      <c r="F19" s="11"/>
      <c r="G19" s="11"/>
    </row>
    <row r="20">
      <c r="A20" s="11"/>
      <c r="B20" s="11"/>
      <c r="C20" s="11"/>
      <c r="D20" s="11"/>
      <c r="E20" s="11"/>
      <c r="F20" s="11"/>
      <c r="G20" s="11"/>
    </row>
    <row r="21" ht="15.75" customHeight="1">
      <c r="A21" s="11"/>
      <c r="B21" s="11"/>
      <c r="C21" s="11"/>
      <c r="D21" s="11"/>
      <c r="E21" s="11"/>
      <c r="F21" s="11"/>
      <c r="G21" s="11"/>
    </row>
    <row r="22" ht="15.75" customHeight="1">
      <c r="A22" s="11"/>
      <c r="B22" s="11"/>
      <c r="C22" s="11"/>
      <c r="D22" s="11"/>
      <c r="E22" s="11"/>
      <c r="F22" s="11"/>
      <c r="G22" s="11"/>
    </row>
    <row r="23" ht="15.75" customHeight="1">
      <c r="A23" s="11"/>
      <c r="B23" s="11"/>
      <c r="C23" s="11"/>
      <c r="D23" s="11"/>
      <c r="E23" s="11"/>
      <c r="F23" s="11"/>
      <c r="G23" s="11"/>
    </row>
    <row r="24" ht="15.75" customHeight="1">
      <c r="A24" s="11"/>
      <c r="B24" s="11"/>
      <c r="C24" s="11"/>
      <c r="D24" s="11"/>
      <c r="E24" s="11"/>
      <c r="F24" s="11"/>
      <c r="G24" s="11"/>
    </row>
    <row r="25" ht="15.75" customHeight="1">
      <c r="A25" s="11"/>
      <c r="B25" s="11"/>
      <c r="C25" s="11"/>
      <c r="D25" s="11"/>
      <c r="E25" s="11"/>
      <c r="F25" s="11"/>
      <c r="G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3" width="18.0"/>
    <col customWidth="1" min="4" max="4" width="22.0"/>
    <col customWidth="1" min="5" max="6" width="18.0"/>
    <col customWidth="1" min="7" max="26" width="8.71"/>
  </cols>
  <sheetData>
    <row r="1">
      <c r="A1" s="1" t="s">
        <v>898</v>
      </c>
    </row>
    <row r="2" ht="37.5" customHeight="1">
      <c r="A2" s="3" t="s">
        <v>899</v>
      </c>
    </row>
    <row r="4">
      <c r="A4" s="4" t="s">
        <v>4</v>
      </c>
      <c r="B4" s="4" t="s">
        <v>5</v>
      </c>
      <c r="C4" s="4" t="s">
        <v>66</v>
      </c>
      <c r="D4" s="4" t="s">
        <v>900</v>
      </c>
      <c r="E4" s="4" t="s">
        <v>901</v>
      </c>
      <c r="F4" s="4" t="s">
        <v>74</v>
      </c>
    </row>
    <row r="5">
      <c r="A5" s="5" t="s">
        <v>75</v>
      </c>
      <c r="B5" s="5" t="s">
        <v>902</v>
      </c>
      <c r="C5" s="6" t="s">
        <v>833</v>
      </c>
      <c r="D5" s="6" t="s">
        <v>903</v>
      </c>
      <c r="E5" s="6" t="s">
        <v>904</v>
      </c>
      <c r="F5" s="6" t="s">
        <v>85</v>
      </c>
    </row>
    <row r="6">
      <c r="A6" s="7" t="s">
        <v>36</v>
      </c>
      <c r="B6" s="7" t="s">
        <v>36</v>
      </c>
      <c r="C6" s="7" t="s">
        <v>38</v>
      </c>
      <c r="D6" s="7" t="s">
        <v>38</v>
      </c>
      <c r="E6" s="7" t="s">
        <v>38</v>
      </c>
      <c r="F6" s="7" t="s">
        <v>38</v>
      </c>
    </row>
    <row r="7" ht="90.0" customHeight="1">
      <c r="A7" s="14" t="s">
        <v>905</v>
      </c>
      <c r="B7" s="14" t="s">
        <v>906</v>
      </c>
      <c r="C7" s="14" t="s">
        <v>907</v>
      </c>
      <c r="D7" s="8" t="s">
        <v>908</v>
      </c>
      <c r="E7" s="14" t="s">
        <v>909</v>
      </c>
      <c r="F7" s="14" t="s">
        <v>910</v>
      </c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  <row r="10">
      <c r="A10" s="9"/>
      <c r="B10" s="9"/>
      <c r="C10" s="9"/>
      <c r="D10" s="9"/>
      <c r="E10" s="9"/>
      <c r="F10" s="9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2" width="18.0"/>
    <col customWidth="1" min="3" max="4" width="24.0"/>
    <col customWidth="1" min="5" max="5" width="22.0"/>
    <col customWidth="1" min="6" max="6" width="36.0"/>
    <col customWidth="1" min="7" max="7" width="37.0"/>
    <col customWidth="1" min="8" max="10" width="38.0"/>
    <col customWidth="1" min="11" max="11" width="18.0"/>
    <col customWidth="1" min="12" max="26" width="8.71"/>
  </cols>
  <sheetData>
    <row r="1">
      <c r="A1" s="1" t="s">
        <v>911</v>
      </c>
    </row>
    <row r="2" ht="37.5" customHeight="1">
      <c r="A2" s="3" t="s">
        <v>912</v>
      </c>
    </row>
    <row r="4">
      <c r="A4" s="4" t="s">
        <v>4</v>
      </c>
      <c r="B4" s="4" t="s">
        <v>5</v>
      </c>
      <c r="C4" s="4" t="s">
        <v>900</v>
      </c>
      <c r="D4" s="4" t="s">
        <v>913</v>
      </c>
      <c r="E4" s="4" t="s">
        <v>914</v>
      </c>
      <c r="F4" s="4" t="s">
        <v>915</v>
      </c>
      <c r="G4" s="4" t="s">
        <v>916</v>
      </c>
      <c r="H4" s="4" t="s">
        <v>917</v>
      </c>
      <c r="I4" s="4" t="s">
        <v>918</v>
      </c>
      <c r="J4" s="4" t="s">
        <v>919</v>
      </c>
      <c r="K4" s="4" t="s">
        <v>74</v>
      </c>
    </row>
    <row r="5">
      <c r="A5" s="5" t="s">
        <v>75</v>
      </c>
      <c r="B5" s="5" t="s">
        <v>920</v>
      </c>
      <c r="C5" s="6" t="s">
        <v>921</v>
      </c>
      <c r="D5" s="6" t="s">
        <v>922</v>
      </c>
      <c r="E5" s="6" t="s">
        <v>923</v>
      </c>
      <c r="F5" s="6" t="s">
        <v>924</v>
      </c>
      <c r="G5" s="6" t="s">
        <v>925</v>
      </c>
      <c r="H5" s="6" t="s">
        <v>926</v>
      </c>
      <c r="I5" s="6" t="s">
        <v>927</v>
      </c>
      <c r="J5" s="6" t="s">
        <v>928</v>
      </c>
      <c r="K5" s="6" t="s">
        <v>85</v>
      </c>
    </row>
    <row r="6">
      <c r="A6" s="7" t="s">
        <v>36</v>
      </c>
      <c r="B6" s="7" t="s">
        <v>36</v>
      </c>
      <c r="C6" s="7" t="s">
        <v>38</v>
      </c>
      <c r="D6" s="7" t="s">
        <v>38</v>
      </c>
      <c r="E6" s="7" t="s">
        <v>38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38</v>
      </c>
      <c r="K6" s="7" t="s">
        <v>38</v>
      </c>
    </row>
    <row r="7" ht="90.0" customHeight="1">
      <c r="A7" s="8" t="s">
        <v>929</v>
      </c>
      <c r="B7" s="8" t="s">
        <v>930</v>
      </c>
      <c r="C7" s="8" t="s">
        <v>931</v>
      </c>
      <c r="D7" s="8" t="s">
        <v>932</v>
      </c>
      <c r="E7" s="8" t="s">
        <v>933</v>
      </c>
      <c r="F7" s="8" t="s">
        <v>934</v>
      </c>
      <c r="G7" s="8" t="s">
        <v>935</v>
      </c>
      <c r="H7" s="8" t="s">
        <v>936</v>
      </c>
      <c r="I7" s="8" t="s">
        <v>936</v>
      </c>
      <c r="J7" s="8" t="s">
        <v>936</v>
      </c>
      <c r="K7" s="8" t="s">
        <v>937</v>
      </c>
    </row>
    <row r="8">
      <c r="A8" s="9" t="s">
        <v>938</v>
      </c>
      <c r="B8" s="9" t="s">
        <v>939</v>
      </c>
      <c r="C8" s="9"/>
      <c r="D8" s="9" t="s">
        <v>940</v>
      </c>
      <c r="E8" s="9" t="s">
        <v>941</v>
      </c>
      <c r="F8" s="9" t="s">
        <v>153</v>
      </c>
      <c r="G8" s="9" t="s">
        <v>169</v>
      </c>
      <c r="H8" s="9"/>
      <c r="I8" s="9"/>
      <c r="J8" s="9"/>
      <c r="K8" s="9" t="s">
        <v>942</v>
      </c>
    </row>
    <row r="9">
      <c r="A9" s="10" t="s">
        <v>943</v>
      </c>
      <c r="B9" s="9" t="s">
        <v>944</v>
      </c>
      <c r="C9" s="9" t="s">
        <v>938</v>
      </c>
      <c r="D9" s="9" t="s">
        <v>945</v>
      </c>
      <c r="E9" s="9" t="s">
        <v>946</v>
      </c>
      <c r="F9" s="9" t="s">
        <v>153</v>
      </c>
      <c r="G9" s="9" t="s">
        <v>169</v>
      </c>
      <c r="H9" s="9" t="s">
        <v>113</v>
      </c>
      <c r="I9" s="9" t="s">
        <v>116</v>
      </c>
      <c r="J9" s="9" t="s">
        <v>110</v>
      </c>
      <c r="K9" s="9" t="s">
        <v>947</v>
      </c>
    </row>
    <row r="10">
      <c r="A10" s="9" t="s">
        <v>948</v>
      </c>
      <c r="B10" s="9" t="s">
        <v>949</v>
      </c>
      <c r="C10" s="9" t="s">
        <v>938</v>
      </c>
      <c r="D10" s="9"/>
      <c r="E10" s="9"/>
      <c r="F10" s="9"/>
      <c r="G10" s="9"/>
      <c r="H10" s="9"/>
      <c r="I10" s="9"/>
      <c r="J10" s="9"/>
      <c r="K10" s="9" t="s">
        <v>950</v>
      </c>
    </row>
    <row r="11">
      <c r="A11" s="9" t="s">
        <v>951</v>
      </c>
      <c r="B11" s="9" t="s">
        <v>952</v>
      </c>
      <c r="C11" s="9"/>
      <c r="D11" s="9"/>
      <c r="E11" s="9"/>
      <c r="F11" s="9" t="s">
        <v>158</v>
      </c>
      <c r="G11" s="9"/>
      <c r="H11" s="9"/>
      <c r="I11" s="9"/>
      <c r="J11" s="9"/>
      <c r="K11" s="9" t="s">
        <v>953</v>
      </c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8.0"/>
    <col customWidth="1" min="2" max="2" width="21.0"/>
    <col customWidth="1" min="3" max="3" width="18.0"/>
    <col customWidth="1" min="4" max="4" width="22.0"/>
    <col customWidth="1" min="5" max="5" width="18.0"/>
    <col customWidth="1" min="6" max="6" width="26.0"/>
    <col customWidth="1" min="7" max="12" width="18.0"/>
    <col customWidth="1" min="13" max="13" width="21.0"/>
    <col customWidth="1" min="14" max="18" width="18.0"/>
    <col customWidth="1" min="19" max="19" width="25.0"/>
    <col customWidth="1" min="20" max="20" width="31.0"/>
    <col customWidth="1" min="21" max="21" width="22.0"/>
    <col customWidth="1" min="22" max="22" width="27.0"/>
    <col customWidth="1" min="23" max="23" width="30.0"/>
    <col customWidth="1" min="24" max="24" width="18.0"/>
    <col customWidth="1" min="25" max="25" width="22.0"/>
    <col customWidth="1" min="26" max="26" width="18.0"/>
  </cols>
  <sheetData>
    <row r="1">
      <c r="A1" s="1" t="s">
        <v>954</v>
      </c>
    </row>
    <row r="2" ht="37.5" customHeight="1">
      <c r="A2" s="3" t="s">
        <v>955</v>
      </c>
    </row>
    <row r="4">
      <c r="A4" s="4" t="s">
        <v>4</v>
      </c>
      <c r="B4" s="4" t="s">
        <v>5</v>
      </c>
      <c r="C4" s="4" t="s">
        <v>956</v>
      </c>
      <c r="D4" s="4" t="s">
        <v>900</v>
      </c>
      <c r="E4" s="4" t="s">
        <v>6</v>
      </c>
      <c r="F4" s="4" t="s">
        <v>957</v>
      </c>
      <c r="G4" s="4" t="s">
        <v>958</v>
      </c>
      <c r="H4" s="4" t="s">
        <v>8</v>
      </c>
      <c r="I4" s="4" t="s">
        <v>959</v>
      </c>
      <c r="J4" s="4" t="s">
        <v>960</v>
      </c>
      <c r="K4" s="4" t="s">
        <v>961</v>
      </c>
      <c r="L4" s="4" t="s">
        <v>962</v>
      </c>
      <c r="M4" s="4" t="s">
        <v>963</v>
      </c>
      <c r="N4" s="4" t="s">
        <v>964</v>
      </c>
      <c r="O4" s="4" t="s">
        <v>965</v>
      </c>
      <c r="P4" s="4" t="s">
        <v>966</v>
      </c>
      <c r="Q4" s="4" t="s">
        <v>967</v>
      </c>
      <c r="R4" s="4" t="s">
        <v>968</v>
      </c>
      <c r="S4" s="4" t="s">
        <v>969</v>
      </c>
      <c r="T4" s="4" t="s">
        <v>970</v>
      </c>
      <c r="U4" s="4" t="s">
        <v>971</v>
      </c>
      <c r="V4" s="4" t="s">
        <v>972</v>
      </c>
      <c r="W4" s="4" t="s">
        <v>973</v>
      </c>
      <c r="X4" s="4" t="s">
        <v>974</v>
      </c>
      <c r="Y4" s="4" t="s">
        <v>975</v>
      </c>
      <c r="Z4" s="4" t="s">
        <v>976</v>
      </c>
    </row>
    <row r="5">
      <c r="A5" s="5" t="s">
        <v>75</v>
      </c>
      <c r="B5" s="5" t="s">
        <v>977</v>
      </c>
      <c r="C5" s="5" t="s">
        <v>978</v>
      </c>
      <c r="D5" s="6" t="s">
        <v>903</v>
      </c>
      <c r="E5" s="6" t="s">
        <v>979</v>
      </c>
      <c r="F5" s="6" t="s">
        <v>980</v>
      </c>
      <c r="G5" s="6" t="s">
        <v>981</v>
      </c>
      <c r="H5" s="6" t="s">
        <v>24</v>
      </c>
      <c r="I5" s="6" t="s">
        <v>982</v>
      </c>
      <c r="J5" s="6" t="s">
        <v>983</v>
      </c>
      <c r="K5" s="6" t="s">
        <v>984</v>
      </c>
      <c r="L5" s="6" t="s">
        <v>904</v>
      </c>
      <c r="M5" s="6" t="s">
        <v>985</v>
      </c>
      <c r="N5" s="6" t="s">
        <v>986</v>
      </c>
      <c r="O5" s="6" t="s">
        <v>987</v>
      </c>
      <c r="P5" s="6" t="s">
        <v>988</v>
      </c>
      <c r="Q5" s="6" t="s">
        <v>989</v>
      </c>
      <c r="R5" s="5" t="s">
        <v>990</v>
      </c>
      <c r="S5" s="6" t="s">
        <v>991</v>
      </c>
      <c r="T5" s="6" t="s">
        <v>992</v>
      </c>
      <c r="U5" s="6" t="s">
        <v>993</v>
      </c>
      <c r="V5" s="6" t="s">
        <v>994</v>
      </c>
      <c r="W5" s="6" t="s">
        <v>995</v>
      </c>
      <c r="X5" s="6" t="s">
        <v>996</v>
      </c>
      <c r="Y5" s="6" t="s">
        <v>997</v>
      </c>
      <c r="Z5" s="6" t="s">
        <v>85</v>
      </c>
    </row>
    <row r="6">
      <c r="A6" s="7" t="s">
        <v>36</v>
      </c>
      <c r="B6" s="7" t="s">
        <v>36</v>
      </c>
      <c r="C6" s="7" t="s">
        <v>36</v>
      </c>
      <c r="D6" s="7" t="s">
        <v>38</v>
      </c>
      <c r="E6" s="7" t="s">
        <v>37</v>
      </c>
      <c r="F6" s="7" t="s">
        <v>38</v>
      </c>
      <c r="G6" s="7" t="s">
        <v>37</v>
      </c>
      <c r="H6" s="7" t="s">
        <v>38</v>
      </c>
      <c r="I6" s="7" t="s">
        <v>38</v>
      </c>
      <c r="J6" s="7" t="s">
        <v>38</v>
      </c>
      <c r="K6" s="7" t="s">
        <v>38</v>
      </c>
      <c r="L6" s="7" t="s">
        <v>38</v>
      </c>
      <c r="M6" s="7" t="s">
        <v>38</v>
      </c>
      <c r="N6" s="7" t="s">
        <v>38</v>
      </c>
      <c r="O6" s="7" t="s">
        <v>38</v>
      </c>
      <c r="P6" s="7" t="s">
        <v>38</v>
      </c>
      <c r="Q6" s="7" t="s">
        <v>38</v>
      </c>
      <c r="R6" s="7" t="s">
        <v>36</v>
      </c>
      <c r="S6" s="7" t="s">
        <v>38</v>
      </c>
      <c r="T6" s="7" t="s">
        <v>38</v>
      </c>
      <c r="U6" s="7" t="s">
        <v>38</v>
      </c>
      <c r="V6" s="7" t="s">
        <v>38</v>
      </c>
      <c r="W6" s="7" t="s">
        <v>38</v>
      </c>
      <c r="X6" s="7" t="s">
        <v>38</v>
      </c>
      <c r="Y6" s="7" t="s">
        <v>38</v>
      </c>
      <c r="Z6" s="7" t="s">
        <v>38</v>
      </c>
    </row>
    <row r="7" ht="90.0" customHeight="1">
      <c r="A7" s="8" t="s">
        <v>998</v>
      </c>
      <c r="B7" s="8" t="s">
        <v>999</v>
      </c>
      <c r="C7" s="8" t="s">
        <v>1000</v>
      </c>
      <c r="D7" s="8" t="s">
        <v>1001</v>
      </c>
      <c r="E7" s="8" t="s">
        <v>1002</v>
      </c>
      <c r="F7" s="8" t="s">
        <v>1003</v>
      </c>
      <c r="G7" s="8" t="s">
        <v>1004</v>
      </c>
      <c r="H7" s="8" t="s">
        <v>1005</v>
      </c>
      <c r="I7" s="8"/>
      <c r="J7" s="8"/>
      <c r="K7" s="8"/>
      <c r="L7" s="8"/>
      <c r="M7" s="8"/>
      <c r="N7" s="8"/>
      <c r="O7" s="8"/>
      <c r="P7" s="8"/>
      <c r="Q7" s="8"/>
      <c r="R7" s="8" t="s">
        <v>1006</v>
      </c>
      <c r="S7" s="8" t="s">
        <v>1007</v>
      </c>
      <c r="T7" s="8" t="s">
        <v>1008</v>
      </c>
      <c r="U7" s="8" t="s">
        <v>1009</v>
      </c>
      <c r="V7" s="8" t="s">
        <v>1010</v>
      </c>
      <c r="W7" s="8" t="s">
        <v>1011</v>
      </c>
      <c r="X7" s="8"/>
      <c r="Y7" s="8"/>
      <c r="Z7" s="8"/>
    </row>
    <row r="8">
      <c r="A8" s="9" t="s">
        <v>1012</v>
      </c>
      <c r="B8" s="9" t="s">
        <v>1013</v>
      </c>
      <c r="C8" s="9" t="s">
        <v>56</v>
      </c>
      <c r="D8" s="9"/>
      <c r="E8" s="9" t="s">
        <v>1014</v>
      </c>
      <c r="F8" s="9" t="s">
        <v>1015</v>
      </c>
      <c r="G8" s="9"/>
      <c r="H8" s="9" t="s">
        <v>55</v>
      </c>
      <c r="I8" s="9" t="s">
        <v>1016</v>
      </c>
      <c r="J8" s="9" t="s">
        <v>1017</v>
      </c>
      <c r="K8" s="9" t="s">
        <v>1018</v>
      </c>
      <c r="L8" s="9" t="s">
        <v>1019</v>
      </c>
      <c r="M8" s="9"/>
      <c r="N8" s="9" t="s">
        <v>1020</v>
      </c>
      <c r="O8" s="9" t="s">
        <v>1021</v>
      </c>
      <c r="P8" s="9" t="s">
        <v>1022</v>
      </c>
      <c r="Q8" s="9" t="s">
        <v>1023</v>
      </c>
      <c r="R8" s="9">
        <v>1.0</v>
      </c>
      <c r="S8" s="9" t="s">
        <v>1024</v>
      </c>
      <c r="T8" s="9"/>
      <c r="U8" s="9">
        <v>5.0E8</v>
      </c>
      <c r="V8" s="9" t="s">
        <v>56</v>
      </c>
      <c r="W8" s="9"/>
      <c r="X8" s="9" t="s">
        <v>1025</v>
      </c>
      <c r="Y8" s="9"/>
      <c r="Z8" s="9" t="s">
        <v>1026</v>
      </c>
    </row>
    <row r="9">
      <c r="A9" s="9" t="s">
        <v>1027</v>
      </c>
      <c r="B9" s="9" t="s">
        <v>1028</v>
      </c>
      <c r="C9" s="9" t="s">
        <v>63</v>
      </c>
      <c r="D9" s="9" t="s">
        <v>1012</v>
      </c>
      <c r="E9" s="9"/>
      <c r="F9" s="9"/>
      <c r="G9" s="9" t="s">
        <v>1029</v>
      </c>
      <c r="H9" s="9" t="s">
        <v>55</v>
      </c>
      <c r="I9" s="9" t="s">
        <v>1016</v>
      </c>
      <c r="J9" s="9" t="s">
        <v>1017</v>
      </c>
      <c r="K9" s="9" t="s">
        <v>1018</v>
      </c>
      <c r="L9" s="9"/>
      <c r="M9" s="9"/>
      <c r="N9" s="9"/>
      <c r="O9" s="9" t="s">
        <v>1030</v>
      </c>
      <c r="P9" s="9" t="s">
        <v>1031</v>
      </c>
      <c r="Q9" s="9"/>
      <c r="R9" s="9">
        <v>1.0</v>
      </c>
      <c r="S9" s="9"/>
      <c r="T9" s="9"/>
      <c r="U9" s="9">
        <v>0.0</v>
      </c>
      <c r="V9" s="9" t="s">
        <v>63</v>
      </c>
      <c r="W9" s="9"/>
      <c r="X9" s="9"/>
      <c r="Y9" s="9"/>
      <c r="Z9" s="9" t="s">
        <v>1032</v>
      </c>
    </row>
    <row r="10">
      <c r="A10" s="9" t="s">
        <v>1033</v>
      </c>
      <c r="B10" s="9" t="s">
        <v>1034</v>
      </c>
      <c r="C10" s="9" t="s">
        <v>56</v>
      </c>
      <c r="D10" s="9"/>
      <c r="E10" s="9" t="s">
        <v>1035</v>
      </c>
      <c r="F10" s="9" t="s">
        <v>1015</v>
      </c>
      <c r="G10" s="9"/>
      <c r="H10" s="9" t="s">
        <v>55</v>
      </c>
      <c r="I10" s="9" t="s">
        <v>1036</v>
      </c>
      <c r="J10" s="9" t="s">
        <v>1037</v>
      </c>
      <c r="K10" s="9" t="s">
        <v>1038</v>
      </c>
      <c r="L10" s="9" t="s">
        <v>1039</v>
      </c>
      <c r="M10" s="9"/>
      <c r="N10" s="9"/>
      <c r="O10" s="9"/>
      <c r="P10" s="9" t="s">
        <v>1040</v>
      </c>
      <c r="Q10" s="9"/>
      <c r="R10" s="9">
        <v>1.0</v>
      </c>
      <c r="S10" s="9" t="s">
        <v>1041</v>
      </c>
      <c r="T10" s="9"/>
      <c r="U10" s="9">
        <v>1.0E8</v>
      </c>
      <c r="V10" s="9" t="s">
        <v>56</v>
      </c>
      <c r="W10" s="9"/>
      <c r="X10" s="9" t="s">
        <v>1025</v>
      </c>
      <c r="Y10" s="9"/>
      <c r="Z10" s="9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7" t="s">
        <v>1042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1"/>
      <c r="B13" s="12" t="s">
        <v>1043</v>
      </c>
      <c r="C13" s="12" t="b">
        <v>1</v>
      </c>
      <c r="D13" s="11"/>
      <c r="E13" s="12">
        <v>3.1882004012E13</v>
      </c>
      <c r="F13" s="11"/>
      <c r="G13" s="11"/>
      <c r="H13" s="11"/>
      <c r="I13" s="11"/>
      <c r="J13" s="11"/>
      <c r="K13" s="11"/>
      <c r="L13" s="11"/>
      <c r="M13" s="11"/>
      <c r="N13" s="12" t="s">
        <v>1044</v>
      </c>
      <c r="O13" s="11"/>
      <c r="P13" s="11"/>
      <c r="Q13" s="11"/>
      <c r="R13" s="12">
        <v>1.0</v>
      </c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2" t="s">
        <v>1045</v>
      </c>
      <c r="C14" s="12" t="b">
        <v>1</v>
      </c>
      <c r="D14" s="11"/>
      <c r="E14" s="12">
        <v>6.20408674047E14</v>
      </c>
      <c r="F14" s="11"/>
      <c r="G14" s="11"/>
      <c r="H14" s="11"/>
      <c r="I14" s="11"/>
      <c r="J14" s="11"/>
      <c r="K14" s="11"/>
      <c r="L14" s="11"/>
      <c r="M14" s="11"/>
      <c r="N14" s="12"/>
      <c r="O14" s="11"/>
      <c r="P14" s="11"/>
      <c r="Q14" s="11"/>
      <c r="R14" s="12">
        <v>1.0</v>
      </c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2" t="s">
        <v>1046</v>
      </c>
      <c r="C15" s="12" t="b">
        <v>1</v>
      </c>
      <c r="D15" s="11"/>
      <c r="E15" s="12">
        <v>2.29183215033E14</v>
      </c>
      <c r="F15" s="11"/>
      <c r="G15" s="11"/>
      <c r="H15" s="11"/>
      <c r="I15" s="11"/>
      <c r="J15" s="11"/>
      <c r="K15" s="11"/>
      <c r="L15" s="11"/>
      <c r="M15" s="11"/>
      <c r="N15" s="12" t="s">
        <v>1047</v>
      </c>
      <c r="O15" s="11"/>
      <c r="P15" s="11"/>
      <c r="Q15" s="11"/>
      <c r="R15" s="12">
        <v>1.0</v>
      </c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2" t="s">
        <v>1048</v>
      </c>
      <c r="C16" s="12" t="b">
        <v>1</v>
      </c>
      <c r="D16" s="11"/>
      <c r="E16" s="12">
        <v>2.8752095073E13</v>
      </c>
      <c r="F16" s="11"/>
      <c r="G16" s="11"/>
      <c r="H16" s="11"/>
      <c r="I16" s="11"/>
      <c r="J16" s="11"/>
      <c r="K16" s="11"/>
      <c r="L16" s="11"/>
      <c r="M16" s="11"/>
      <c r="N16" s="12" t="s">
        <v>1049</v>
      </c>
      <c r="O16" s="11"/>
      <c r="P16" s="11"/>
      <c r="Q16" s="11"/>
      <c r="R16" s="12">
        <v>1.0</v>
      </c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2" t="s">
        <v>1050</v>
      </c>
      <c r="C17" s="12" t="b">
        <v>1</v>
      </c>
      <c r="D17" s="11"/>
      <c r="E17" s="12">
        <v>2.3110679073E13</v>
      </c>
      <c r="F17" s="11"/>
      <c r="G17" s="11"/>
      <c r="H17" s="11"/>
      <c r="I17" s="11"/>
      <c r="J17" s="11"/>
      <c r="K17" s="11"/>
      <c r="L17" s="11"/>
      <c r="M17" s="11"/>
      <c r="N17" s="12" t="s">
        <v>1051</v>
      </c>
      <c r="O17" s="11"/>
      <c r="P17" s="11"/>
      <c r="Q17" s="11"/>
      <c r="R17" s="12">
        <v>1.0</v>
      </c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2" t="s">
        <v>1052</v>
      </c>
      <c r="C18" s="12" t="b">
        <v>1</v>
      </c>
      <c r="D18" s="11"/>
      <c r="E18" s="12">
        <v>2.4356321036E13</v>
      </c>
      <c r="F18" s="11"/>
      <c r="G18" s="11"/>
      <c r="H18" s="11"/>
      <c r="I18" s="11"/>
      <c r="J18" s="11"/>
      <c r="K18" s="11"/>
      <c r="L18" s="11"/>
      <c r="M18" s="11"/>
      <c r="N18" s="12"/>
      <c r="O18" s="11"/>
      <c r="P18" s="11"/>
      <c r="Q18" s="11"/>
      <c r="R18" s="12">
        <v>1.0</v>
      </c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2" t="s">
        <v>1053</v>
      </c>
      <c r="C19" s="12" t="b">
        <v>1</v>
      </c>
      <c r="D19" s="11"/>
      <c r="E19" s="12">
        <v>1.0027175046E13</v>
      </c>
      <c r="F19" s="11"/>
      <c r="G19" s="11"/>
      <c r="H19" s="11"/>
      <c r="I19" s="11"/>
      <c r="J19" s="11"/>
      <c r="K19" s="11"/>
      <c r="L19" s="11"/>
      <c r="M19" s="11"/>
      <c r="N19" s="12" t="s">
        <v>1054</v>
      </c>
      <c r="O19" s="11"/>
      <c r="P19" s="11"/>
      <c r="Q19" s="11"/>
      <c r="R19" s="12">
        <v>1.0</v>
      </c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2" t="s">
        <v>1055</v>
      </c>
      <c r="C20" s="12" t="b">
        <v>1</v>
      </c>
      <c r="D20" s="11"/>
      <c r="E20" s="12">
        <v>2.2502181018E13</v>
      </c>
      <c r="F20" s="11"/>
      <c r="G20" s="11"/>
      <c r="H20" s="11"/>
      <c r="I20" s="11"/>
      <c r="J20" s="11"/>
      <c r="K20" s="11"/>
      <c r="L20" s="11"/>
      <c r="M20" s="11"/>
      <c r="N20" s="12" t="s">
        <v>1056</v>
      </c>
      <c r="O20" s="11"/>
      <c r="P20" s="11"/>
      <c r="Q20" s="11"/>
      <c r="R20" s="12">
        <v>1.0</v>
      </c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2" t="s">
        <v>1057</v>
      </c>
      <c r="C21" s="12" t="b">
        <v>1</v>
      </c>
      <c r="D21" s="11"/>
      <c r="E21" s="12">
        <v>8.55133872039E14</v>
      </c>
      <c r="F21" s="11"/>
      <c r="G21" s="11"/>
      <c r="H21" s="11"/>
      <c r="I21" s="11"/>
      <c r="J21" s="11"/>
      <c r="K21" s="11"/>
      <c r="L21" s="11"/>
      <c r="M21" s="11"/>
      <c r="N21" s="12" t="s">
        <v>1058</v>
      </c>
      <c r="O21" s="11"/>
      <c r="P21" s="11"/>
      <c r="Q21" s="11"/>
      <c r="R21" s="12">
        <v>1.0</v>
      </c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2" t="s">
        <v>1059</v>
      </c>
      <c r="C22" s="12" t="b">
        <v>1</v>
      </c>
      <c r="D22" s="11"/>
      <c r="E22" s="12" t="s">
        <v>1060</v>
      </c>
      <c r="F22" s="11"/>
      <c r="G22" s="11"/>
      <c r="H22" s="11"/>
      <c r="I22" s="11"/>
      <c r="J22" s="11"/>
      <c r="K22" s="11"/>
      <c r="L22" s="11"/>
      <c r="M22" s="11"/>
      <c r="N22" s="12" t="s">
        <v>1061</v>
      </c>
      <c r="O22" s="11"/>
      <c r="P22" s="11"/>
      <c r="Q22" s="11"/>
      <c r="R22" s="12">
        <v>1.0</v>
      </c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2" t="s">
        <v>1062</v>
      </c>
      <c r="C23" s="12" t="b">
        <v>1</v>
      </c>
      <c r="D23" s="11"/>
      <c r="E23" s="12">
        <v>1.3118138073E13</v>
      </c>
      <c r="F23" s="11"/>
      <c r="G23" s="11"/>
      <c r="H23" s="11"/>
      <c r="I23" s="11"/>
      <c r="J23" s="11"/>
      <c r="K23" s="11"/>
      <c r="L23" s="11"/>
      <c r="M23" s="11"/>
      <c r="N23" s="12" t="s">
        <v>1063</v>
      </c>
      <c r="O23" s="11"/>
      <c r="P23" s="11"/>
      <c r="Q23" s="11"/>
      <c r="R23" s="12">
        <v>1.0</v>
      </c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2" t="s">
        <v>1064</v>
      </c>
      <c r="C24" s="12" t="b">
        <v>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>
        <v>1.0</v>
      </c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7" t="s">
        <v>1065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1"/>
      <c r="B28" s="12" t="s">
        <v>61</v>
      </c>
      <c r="C28" s="12" t="b">
        <v>1</v>
      </c>
      <c r="D28" s="11"/>
      <c r="E28" s="12"/>
      <c r="F28" s="11"/>
      <c r="G28" s="11"/>
      <c r="H28" s="11"/>
      <c r="I28" s="11"/>
      <c r="J28" s="11"/>
      <c r="K28" s="11"/>
      <c r="L28" s="11"/>
      <c r="M28" s="12">
        <v>1.0</v>
      </c>
      <c r="N28" s="11"/>
      <c r="O28" s="11"/>
      <c r="P28" s="11"/>
      <c r="Q28" s="11"/>
      <c r="R28" s="12">
        <v>1.0</v>
      </c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1:Z1"/>
    <mergeCell ref="A2:Z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8.0"/>
    <col customWidth="1" min="2" max="2" width="27.0"/>
    <col customWidth="1" min="3" max="3" width="18.0"/>
    <col customWidth="1" min="4" max="4" width="19.86"/>
    <col customWidth="1" min="5" max="13" width="18.0"/>
    <col customWidth="1" min="14" max="14" width="21.0"/>
    <col customWidth="1" min="15" max="15" width="26.0"/>
    <col customWidth="1" min="16" max="16" width="28.0"/>
    <col customWidth="1" min="17" max="17" width="25.0"/>
    <col customWidth="1" min="18" max="18" width="28.0"/>
    <col customWidth="1" min="19" max="19" width="30.0"/>
    <col customWidth="1" min="20" max="21" width="21.0"/>
    <col customWidth="1" min="22" max="23" width="18.0"/>
    <col customWidth="1" min="24" max="24" width="25.0"/>
    <col customWidth="1" min="25" max="25" width="18.0"/>
    <col customWidth="1" min="26" max="26" width="8.71"/>
  </cols>
  <sheetData>
    <row r="1">
      <c r="A1" s="1" t="s">
        <v>1066</v>
      </c>
    </row>
    <row r="2" ht="37.5" customHeight="1">
      <c r="A2" s="3" t="s">
        <v>1067</v>
      </c>
    </row>
    <row r="4">
      <c r="A4" s="4" t="s">
        <v>4</v>
      </c>
      <c r="B4" s="4" t="s">
        <v>5</v>
      </c>
      <c r="C4" s="4" t="s">
        <v>956</v>
      </c>
      <c r="D4" s="4" t="s">
        <v>6</v>
      </c>
      <c r="E4" s="4" t="s">
        <v>8</v>
      </c>
      <c r="F4" s="4" t="s">
        <v>959</v>
      </c>
      <c r="G4" s="4" t="s">
        <v>960</v>
      </c>
      <c r="H4" s="4" t="s">
        <v>961</v>
      </c>
      <c r="I4" s="4" t="s">
        <v>962</v>
      </c>
      <c r="J4" s="4" t="s">
        <v>964</v>
      </c>
      <c r="K4" s="4" t="s">
        <v>966</v>
      </c>
      <c r="L4" s="4" t="s">
        <v>967</v>
      </c>
      <c r="M4" s="4" t="s">
        <v>1068</v>
      </c>
      <c r="N4" s="4" t="s">
        <v>1069</v>
      </c>
      <c r="O4" s="4" t="s">
        <v>1070</v>
      </c>
      <c r="P4" s="4" t="s">
        <v>1071</v>
      </c>
      <c r="Q4" s="4" t="s">
        <v>969</v>
      </c>
      <c r="R4" s="4" t="s">
        <v>1072</v>
      </c>
      <c r="S4" s="4" t="s">
        <v>1073</v>
      </c>
      <c r="T4" s="4" t="s">
        <v>1074</v>
      </c>
      <c r="U4" s="4" t="s">
        <v>1075</v>
      </c>
      <c r="V4" s="4" t="s">
        <v>1076</v>
      </c>
      <c r="W4" s="4" t="s">
        <v>1077</v>
      </c>
      <c r="X4" s="4" t="s">
        <v>1078</v>
      </c>
      <c r="Y4" s="4" t="s">
        <v>976</v>
      </c>
    </row>
    <row r="5">
      <c r="A5" s="5" t="s">
        <v>75</v>
      </c>
      <c r="B5" s="5" t="s">
        <v>1079</v>
      </c>
      <c r="C5" s="5" t="s">
        <v>978</v>
      </c>
      <c r="D5" s="6" t="s">
        <v>1080</v>
      </c>
      <c r="E5" s="5" t="s">
        <v>24</v>
      </c>
      <c r="F5" s="6" t="s">
        <v>1081</v>
      </c>
      <c r="G5" s="6" t="s">
        <v>983</v>
      </c>
      <c r="H5" s="6" t="s">
        <v>984</v>
      </c>
      <c r="I5" s="6" t="s">
        <v>904</v>
      </c>
      <c r="J5" s="6" t="s">
        <v>986</v>
      </c>
      <c r="K5" s="6" t="s">
        <v>988</v>
      </c>
      <c r="L5" s="6" t="s">
        <v>989</v>
      </c>
      <c r="M5" s="5" t="s">
        <v>1082</v>
      </c>
      <c r="N5" s="6" t="s">
        <v>1083</v>
      </c>
      <c r="O5" s="6" t="s">
        <v>1084</v>
      </c>
      <c r="P5" s="6" t="s">
        <v>1085</v>
      </c>
      <c r="Q5" s="6" t="s">
        <v>991</v>
      </c>
      <c r="R5" s="6" t="s">
        <v>1086</v>
      </c>
      <c r="S5" s="6" t="s">
        <v>1087</v>
      </c>
      <c r="T5" s="6" t="s">
        <v>1088</v>
      </c>
      <c r="U5" s="6" t="s">
        <v>1089</v>
      </c>
      <c r="V5" s="6" t="s">
        <v>1090</v>
      </c>
      <c r="W5" s="6" t="s">
        <v>1091</v>
      </c>
      <c r="X5" s="6" t="s">
        <v>1092</v>
      </c>
      <c r="Y5" s="6" t="s">
        <v>85</v>
      </c>
    </row>
    <row r="6">
      <c r="A6" s="7" t="s">
        <v>36</v>
      </c>
      <c r="B6" s="7" t="s">
        <v>36</v>
      </c>
      <c r="C6" s="7" t="s">
        <v>36</v>
      </c>
      <c r="D6" s="7" t="s">
        <v>37</v>
      </c>
      <c r="E6" s="7" t="s">
        <v>36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38</v>
      </c>
      <c r="K6" s="7" t="s">
        <v>38</v>
      </c>
      <c r="L6" s="7" t="s">
        <v>38</v>
      </c>
      <c r="M6" s="7" t="s">
        <v>36</v>
      </c>
      <c r="N6" s="7" t="s">
        <v>38</v>
      </c>
      <c r="O6" s="7" t="s">
        <v>38</v>
      </c>
      <c r="P6" s="7" t="s">
        <v>38</v>
      </c>
      <c r="Q6" s="7" t="s">
        <v>38</v>
      </c>
      <c r="R6" s="7" t="s">
        <v>38</v>
      </c>
      <c r="S6" s="7" t="s">
        <v>38</v>
      </c>
      <c r="T6" s="7" t="s">
        <v>38</v>
      </c>
      <c r="U6" s="7" t="s">
        <v>38</v>
      </c>
      <c r="V6" s="7" t="s">
        <v>38</v>
      </c>
      <c r="W6" s="7" t="s">
        <v>38</v>
      </c>
      <c r="X6" s="7" t="s">
        <v>38</v>
      </c>
      <c r="Y6" s="7" t="s">
        <v>38</v>
      </c>
    </row>
    <row r="7" ht="90.0" customHeight="1">
      <c r="A7" s="8" t="s">
        <v>1093</v>
      </c>
      <c r="B7" s="8"/>
      <c r="C7" s="8" t="s">
        <v>793</v>
      </c>
      <c r="D7" s="8" t="s">
        <v>1094</v>
      </c>
      <c r="E7" s="8" t="s">
        <v>1095</v>
      </c>
      <c r="F7" s="8"/>
      <c r="G7" s="8"/>
      <c r="H7" s="8"/>
      <c r="I7" s="8"/>
      <c r="J7" s="8"/>
      <c r="K7" s="8"/>
      <c r="L7" s="8"/>
      <c r="M7" s="8" t="s">
        <v>1096</v>
      </c>
      <c r="N7" s="8" t="s">
        <v>1097</v>
      </c>
      <c r="O7" s="8" t="s">
        <v>1098</v>
      </c>
      <c r="P7" s="8" t="s">
        <v>1099</v>
      </c>
      <c r="Q7" s="8"/>
      <c r="R7" s="8" t="s">
        <v>1100</v>
      </c>
      <c r="S7" s="8" t="s">
        <v>1101</v>
      </c>
      <c r="T7" s="8" t="s">
        <v>1102</v>
      </c>
      <c r="U7" s="8" t="s">
        <v>1103</v>
      </c>
      <c r="V7" s="8"/>
      <c r="W7" s="8"/>
      <c r="X7" s="8"/>
      <c r="Y7" s="8"/>
    </row>
    <row r="8">
      <c r="A8" s="9" t="s">
        <v>1104</v>
      </c>
      <c r="B8" s="9" t="s">
        <v>1105</v>
      </c>
      <c r="C8" s="9" t="s">
        <v>56</v>
      </c>
      <c r="D8" s="9" t="s">
        <v>1106</v>
      </c>
      <c r="E8" s="9" t="s">
        <v>55</v>
      </c>
      <c r="F8" s="9" t="s">
        <v>1107</v>
      </c>
      <c r="G8" s="9" t="s">
        <v>1108</v>
      </c>
      <c r="H8" s="9" t="s">
        <v>1109</v>
      </c>
      <c r="I8" s="9" t="s">
        <v>1110</v>
      </c>
      <c r="J8" s="9" t="s">
        <v>1111</v>
      </c>
      <c r="K8" s="9" t="s">
        <v>1112</v>
      </c>
      <c r="L8" s="9" t="s">
        <v>1113</v>
      </c>
      <c r="M8" s="9">
        <v>1.0</v>
      </c>
      <c r="N8" s="9" t="s">
        <v>56</v>
      </c>
      <c r="O8" s="9" t="s">
        <v>63</v>
      </c>
      <c r="P8" s="9">
        <v>12.0</v>
      </c>
      <c r="Q8" s="9" t="s">
        <v>1024</v>
      </c>
      <c r="R8" s="9"/>
      <c r="S8" s="9" t="s">
        <v>54</v>
      </c>
      <c r="T8" s="9" t="s">
        <v>810</v>
      </c>
      <c r="U8" s="9" t="s">
        <v>804</v>
      </c>
      <c r="V8" s="9" t="s">
        <v>868</v>
      </c>
      <c r="W8" s="9" t="s">
        <v>1114</v>
      </c>
      <c r="X8" s="9" t="s">
        <v>1115</v>
      </c>
      <c r="Y8" s="9" t="s">
        <v>1116</v>
      </c>
    </row>
    <row r="9">
      <c r="A9" s="9" t="s">
        <v>1117</v>
      </c>
      <c r="B9" s="9" t="s">
        <v>1118</v>
      </c>
      <c r="C9" s="9" t="s">
        <v>56</v>
      </c>
      <c r="D9" s="9"/>
      <c r="E9" s="9" t="s">
        <v>857</v>
      </c>
      <c r="F9" s="9" t="s">
        <v>1119</v>
      </c>
      <c r="G9" s="9" t="s">
        <v>1120</v>
      </c>
      <c r="H9" s="9" t="s">
        <v>1121</v>
      </c>
      <c r="I9" s="9" t="s">
        <v>1122</v>
      </c>
      <c r="J9" s="9" t="s">
        <v>1123</v>
      </c>
      <c r="K9" s="9" t="s">
        <v>1124</v>
      </c>
      <c r="L9" s="9" t="s">
        <v>1125</v>
      </c>
      <c r="M9" s="9">
        <v>1.0</v>
      </c>
      <c r="N9" s="9" t="s">
        <v>56</v>
      </c>
      <c r="O9" s="9" t="s">
        <v>63</v>
      </c>
      <c r="P9" s="9">
        <v>24.0</v>
      </c>
      <c r="Q9" s="9" t="s">
        <v>1126</v>
      </c>
      <c r="R9" s="9"/>
      <c r="S9" s="9" t="s">
        <v>1127</v>
      </c>
      <c r="T9" s="9"/>
      <c r="U9" s="9" t="s">
        <v>820</v>
      </c>
      <c r="V9" s="9"/>
      <c r="W9" s="9"/>
      <c r="X9" s="9"/>
      <c r="Y9" s="9" t="s">
        <v>1128</v>
      </c>
    </row>
    <row r="10">
      <c r="A10" s="9" t="s">
        <v>1129</v>
      </c>
      <c r="B10" s="9" t="s">
        <v>1130</v>
      </c>
      <c r="C10" s="9" t="s">
        <v>56</v>
      </c>
      <c r="D10" s="9" t="s">
        <v>1131</v>
      </c>
      <c r="E10" s="9" t="s">
        <v>55</v>
      </c>
      <c r="F10" s="9" t="s">
        <v>1016</v>
      </c>
      <c r="G10" s="9" t="s">
        <v>1017</v>
      </c>
      <c r="H10" s="9" t="s">
        <v>1132</v>
      </c>
      <c r="I10" s="9" t="s">
        <v>1133</v>
      </c>
      <c r="J10" s="9" t="s">
        <v>1134</v>
      </c>
      <c r="K10" s="9" t="s">
        <v>1135</v>
      </c>
      <c r="L10" s="9"/>
      <c r="M10" s="9">
        <v>1.0</v>
      </c>
      <c r="N10" s="9" t="s">
        <v>63</v>
      </c>
      <c r="O10" s="9" t="s">
        <v>56</v>
      </c>
      <c r="P10" s="9">
        <v>0.0</v>
      </c>
      <c r="Q10" s="9" t="s">
        <v>1041</v>
      </c>
      <c r="R10" s="9"/>
      <c r="S10" s="9" t="s">
        <v>54</v>
      </c>
      <c r="T10" s="9" t="s">
        <v>810</v>
      </c>
      <c r="U10" s="9" t="s">
        <v>804</v>
      </c>
      <c r="V10" s="9" t="s">
        <v>1136</v>
      </c>
      <c r="W10" s="9" t="s">
        <v>1137</v>
      </c>
      <c r="X10" s="9" t="s">
        <v>1138</v>
      </c>
      <c r="Y10" s="9" t="s">
        <v>1139</v>
      </c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7" t="s">
        <v>1042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1"/>
      <c r="B13" s="12" t="s">
        <v>61</v>
      </c>
      <c r="C13" s="12" t="b">
        <v>1</v>
      </c>
      <c r="D13" s="12"/>
      <c r="E13" s="12" t="s">
        <v>55</v>
      </c>
      <c r="F13" s="11"/>
      <c r="G13" s="11"/>
      <c r="H13" s="11"/>
      <c r="I13" s="11"/>
      <c r="J13" s="11"/>
      <c r="K13" s="11"/>
      <c r="L13" s="11"/>
      <c r="M13" s="12">
        <v>1.0</v>
      </c>
      <c r="N13" s="11"/>
      <c r="O13" s="11"/>
      <c r="P13" s="11"/>
      <c r="Q13" s="11"/>
      <c r="R13" s="11"/>
      <c r="S13" s="11"/>
      <c r="T13" s="11"/>
      <c r="U13" s="11"/>
      <c r="V13" s="12" t="s">
        <v>868</v>
      </c>
      <c r="W13" s="12">
        <v>2.686955777E9</v>
      </c>
      <c r="X13" s="12" t="s">
        <v>61</v>
      </c>
      <c r="Y13" s="12" t="s">
        <v>1140</v>
      </c>
    </row>
    <row r="14">
      <c r="A14" s="11"/>
      <c r="B14" s="12" t="s">
        <v>1141</v>
      </c>
      <c r="C14" s="12" t="b">
        <v>1</v>
      </c>
      <c r="D14" s="12" t="s">
        <v>1142</v>
      </c>
      <c r="E14" s="12" t="s">
        <v>55</v>
      </c>
      <c r="F14" s="11"/>
      <c r="G14" s="11"/>
      <c r="H14" s="11"/>
      <c r="I14" s="11"/>
      <c r="J14" s="11"/>
      <c r="K14" s="12" t="s">
        <v>1143</v>
      </c>
      <c r="L14" s="11"/>
      <c r="M14" s="12">
        <v>1.0</v>
      </c>
      <c r="N14" s="12" t="b">
        <v>0</v>
      </c>
      <c r="O14" s="12" t="b">
        <v>1</v>
      </c>
      <c r="P14" s="11"/>
      <c r="Q14" s="11"/>
      <c r="R14" s="11"/>
      <c r="S14" s="11"/>
      <c r="T14" s="11"/>
      <c r="U14" s="11"/>
      <c r="V14" s="12" t="s">
        <v>868</v>
      </c>
      <c r="W14" s="12">
        <v>4.072221617E9</v>
      </c>
      <c r="X14" s="12" t="s">
        <v>1141</v>
      </c>
      <c r="Y14" s="12" t="s">
        <v>1144</v>
      </c>
    </row>
    <row r="15">
      <c r="A15" s="11"/>
      <c r="B15" s="12" t="s">
        <v>1145</v>
      </c>
      <c r="C15" s="12" t="b">
        <v>1</v>
      </c>
      <c r="D15" s="11"/>
      <c r="E15" s="12" t="s">
        <v>55</v>
      </c>
      <c r="F15" s="11"/>
      <c r="G15" s="11"/>
      <c r="H15" s="11"/>
      <c r="I15" s="11"/>
      <c r="J15" s="11"/>
      <c r="K15" s="11"/>
      <c r="L15" s="11"/>
      <c r="M15" s="12">
        <v>1.0</v>
      </c>
      <c r="N15" s="11"/>
      <c r="O15" s="11"/>
      <c r="P15" s="11"/>
      <c r="Q15" s="11"/>
      <c r="R15" s="11"/>
      <c r="S15" s="11"/>
      <c r="T15" s="11"/>
      <c r="U15" s="11"/>
      <c r="V15" s="12" t="s">
        <v>1136</v>
      </c>
      <c r="W15" s="12">
        <v>1.260005249882E12</v>
      </c>
      <c r="X15" s="12" t="s">
        <v>1145</v>
      </c>
      <c r="Y15" s="12" t="s">
        <v>1146</v>
      </c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Y1"/>
    <mergeCell ref="A2:Y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18.0"/>
    <col customWidth="1" min="4" max="4" width="26.29"/>
    <col customWidth="1" min="5" max="7" width="18.0"/>
    <col customWidth="1" min="8" max="8" width="26.0"/>
    <col customWidth="1" min="9" max="9" width="18.0"/>
    <col customWidth="1" min="10" max="10" width="20.0"/>
    <col customWidth="1" min="11" max="11" width="18.0"/>
    <col customWidth="1" min="12" max="12" width="22.0"/>
    <col customWidth="1" min="13" max="13" width="25.0"/>
    <col customWidth="1" min="14" max="14" width="34.0"/>
    <col customWidth="1" min="15" max="16" width="18.0"/>
    <col customWidth="1" min="17" max="17" width="19.0"/>
    <col customWidth="1" min="18" max="18" width="20.0"/>
    <col customWidth="1" min="19" max="19" width="21.0"/>
    <col customWidth="1" min="20" max="22" width="18.0"/>
    <col customWidth="1" min="23" max="23" width="20.0"/>
    <col customWidth="1" min="24" max="24" width="24.0"/>
    <col customWidth="1" min="25" max="25" width="25.0"/>
    <col customWidth="1" min="26" max="26" width="19.0"/>
  </cols>
  <sheetData>
    <row r="1">
      <c r="A1" s="1" t="s">
        <v>1147</v>
      </c>
    </row>
    <row r="2" ht="37.5" customHeight="1">
      <c r="A2" s="3" t="s">
        <v>1148</v>
      </c>
    </row>
    <row r="4">
      <c r="A4" s="4" t="s">
        <v>4</v>
      </c>
      <c r="B4" s="4" t="s">
        <v>1149</v>
      </c>
      <c r="C4" s="4" t="s">
        <v>1150</v>
      </c>
      <c r="D4" s="4" t="s">
        <v>5</v>
      </c>
      <c r="E4" s="4" t="s">
        <v>825</v>
      </c>
      <c r="F4" s="4" t="s">
        <v>1151</v>
      </c>
      <c r="G4" s="4" t="s">
        <v>1152</v>
      </c>
      <c r="H4" s="4" t="s">
        <v>1153</v>
      </c>
      <c r="I4" s="4" t="s">
        <v>1154</v>
      </c>
      <c r="J4" s="4" t="s">
        <v>1155</v>
      </c>
      <c r="K4" s="4" t="s">
        <v>1156</v>
      </c>
      <c r="L4" s="4" t="s">
        <v>1157</v>
      </c>
      <c r="M4" s="4" t="s">
        <v>1158</v>
      </c>
      <c r="N4" s="4" t="s">
        <v>1159</v>
      </c>
      <c r="O4" s="4" t="s">
        <v>1160</v>
      </c>
      <c r="P4" s="4" t="s">
        <v>1161</v>
      </c>
      <c r="Q4" s="4" t="s">
        <v>1162</v>
      </c>
      <c r="R4" s="4" t="s">
        <v>1163</v>
      </c>
      <c r="S4" s="4" t="s">
        <v>1164</v>
      </c>
      <c r="T4" s="4" t="s">
        <v>1165</v>
      </c>
      <c r="U4" s="4" t="s">
        <v>1166</v>
      </c>
      <c r="V4" s="4" t="s">
        <v>1167</v>
      </c>
      <c r="W4" s="4" t="s">
        <v>1168</v>
      </c>
      <c r="X4" s="4" t="s">
        <v>1169</v>
      </c>
      <c r="Y4" s="4" t="s">
        <v>1170</v>
      </c>
      <c r="Z4" s="4" t="s">
        <v>1171</v>
      </c>
    </row>
    <row r="5">
      <c r="A5" s="5" t="s">
        <v>75</v>
      </c>
      <c r="B5" s="5" t="s">
        <v>1172</v>
      </c>
      <c r="C5" s="6" t="s">
        <v>1173</v>
      </c>
      <c r="D5" s="5" t="s">
        <v>1174</v>
      </c>
      <c r="E5" s="5" t="s">
        <v>774</v>
      </c>
      <c r="F5" s="6" t="s">
        <v>1175</v>
      </c>
      <c r="G5" s="6" t="s">
        <v>1176</v>
      </c>
      <c r="H5" s="5" t="s">
        <v>1177</v>
      </c>
      <c r="I5" s="6" t="s">
        <v>1178</v>
      </c>
      <c r="J5" s="6" t="s">
        <v>1179</v>
      </c>
      <c r="K5" s="6" t="s">
        <v>1180</v>
      </c>
      <c r="L5" s="6" t="s">
        <v>1181</v>
      </c>
      <c r="M5" s="6" t="s">
        <v>1182</v>
      </c>
      <c r="N5" s="6" t="s">
        <v>1183</v>
      </c>
      <c r="O5" s="6" t="s">
        <v>1184</v>
      </c>
      <c r="P5" s="6" t="s">
        <v>1185</v>
      </c>
      <c r="Q5" s="6" t="s">
        <v>1186</v>
      </c>
      <c r="R5" s="6" t="s">
        <v>1187</v>
      </c>
      <c r="S5" s="6" t="s">
        <v>1188</v>
      </c>
      <c r="T5" s="6" t="s">
        <v>1189</v>
      </c>
      <c r="U5" s="6" t="s">
        <v>1190</v>
      </c>
      <c r="V5" s="6" t="s">
        <v>1191</v>
      </c>
      <c r="W5" s="6" t="s">
        <v>1192</v>
      </c>
      <c r="X5" s="6" t="s">
        <v>1193</v>
      </c>
      <c r="Y5" s="6" t="s">
        <v>1194</v>
      </c>
      <c r="Z5" s="6" t="s">
        <v>1195</v>
      </c>
    </row>
    <row r="6">
      <c r="A6" s="7" t="s">
        <v>36</v>
      </c>
      <c r="B6" s="7" t="s">
        <v>36</v>
      </c>
      <c r="C6" s="7" t="s">
        <v>38</v>
      </c>
      <c r="D6" s="7" t="s">
        <v>36</v>
      </c>
      <c r="E6" s="7" t="s">
        <v>36</v>
      </c>
      <c r="F6" s="7" t="s">
        <v>37</v>
      </c>
      <c r="G6" s="7" t="s">
        <v>37</v>
      </c>
      <c r="H6" s="7" t="s">
        <v>36</v>
      </c>
      <c r="I6" s="7" t="s">
        <v>38</v>
      </c>
      <c r="J6" s="7" t="s">
        <v>38</v>
      </c>
      <c r="K6" s="7" t="s">
        <v>38</v>
      </c>
      <c r="L6" s="7" t="s">
        <v>38</v>
      </c>
      <c r="M6" s="7" t="s">
        <v>38</v>
      </c>
      <c r="N6" s="7" t="s">
        <v>38</v>
      </c>
      <c r="O6" s="7" t="s">
        <v>38</v>
      </c>
      <c r="P6" s="7" t="s">
        <v>38</v>
      </c>
      <c r="Q6" s="7" t="s">
        <v>38</v>
      </c>
      <c r="R6" s="7" t="s">
        <v>38</v>
      </c>
      <c r="S6" s="7" t="s">
        <v>38</v>
      </c>
      <c r="T6" s="7" t="s">
        <v>38</v>
      </c>
      <c r="U6" s="7" t="s">
        <v>38</v>
      </c>
      <c r="V6" s="7" t="s">
        <v>38</v>
      </c>
      <c r="W6" s="7" t="s">
        <v>38</v>
      </c>
      <c r="X6" s="7" t="s">
        <v>38</v>
      </c>
      <c r="Y6" s="7" t="s">
        <v>38</v>
      </c>
      <c r="Z6" s="7" t="s">
        <v>38</v>
      </c>
    </row>
    <row r="7" ht="90.0" customHeight="1">
      <c r="A7" s="8" t="s">
        <v>1196</v>
      </c>
      <c r="B7" s="8" t="s">
        <v>1197</v>
      </c>
      <c r="C7" s="8" t="s">
        <v>1198</v>
      </c>
      <c r="D7" s="8" t="s">
        <v>1199</v>
      </c>
      <c r="E7" s="8" t="s">
        <v>1200</v>
      </c>
      <c r="F7" s="8" t="s">
        <v>1201</v>
      </c>
      <c r="G7" s="8" t="s">
        <v>1202</v>
      </c>
      <c r="H7" s="8" t="s">
        <v>1203</v>
      </c>
      <c r="I7" s="8" t="s">
        <v>1204</v>
      </c>
      <c r="J7" s="8" t="s">
        <v>1204</v>
      </c>
      <c r="K7" s="8" t="s">
        <v>1205</v>
      </c>
      <c r="L7" s="8" t="s">
        <v>40</v>
      </c>
      <c r="M7" s="8" t="s">
        <v>1206</v>
      </c>
      <c r="N7" s="8" t="s">
        <v>1103</v>
      </c>
      <c r="O7" s="8" t="s">
        <v>793</v>
      </c>
      <c r="P7" s="8" t="s">
        <v>793</v>
      </c>
      <c r="Q7" s="8" t="s">
        <v>1207</v>
      </c>
      <c r="R7" s="8" t="s">
        <v>1208</v>
      </c>
      <c r="S7" s="8" t="s">
        <v>1209</v>
      </c>
      <c r="T7" s="8" t="s">
        <v>1210</v>
      </c>
      <c r="U7" s="8"/>
      <c r="V7" s="8"/>
      <c r="W7" s="8"/>
      <c r="X7" s="8"/>
      <c r="Y7" s="8" t="s">
        <v>1211</v>
      </c>
      <c r="Z7" s="8" t="s">
        <v>1212</v>
      </c>
    </row>
    <row r="8">
      <c r="A8" s="9" t="s">
        <v>1213</v>
      </c>
      <c r="B8" s="9" t="s">
        <v>1214</v>
      </c>
      <c r="C8" s="9"/>
      <c r="D8" s="9" t="s">
        <v>1215</v>
      </c>
      <c r="E8" s="9" t="s">
        <v>1216</v>
      </c>
      <c r="F8" s="9" t="s">
        <v>56</v>
      </c>
      <c r="G8" s="9" t="s">
        <v>1217</v>
      </c>
      <c r="H8" s="9" t="s">
        <v>1218</v>
      </c>
      <c r="I8" s="9" t="s">
        <v>1219</v>
      </c>
      <c r="J8" s="9" t="s">
        <v>1219</v>
      </c>
      <c r="K8" s="9">
        <v>2.8E8</v>
      </c>
      <c r="L8" s="9">
        <v>2.3E8</v>
      </c>
      <c r="M8" s="9" t="s">
        <v>796</v>
      </c>
      <c r="N8" s="9" t="s">
        <v>1220</v>
      </c>
      <c r="O8" s="9" t="s">
        <v>56</v>
      </c>
      <c r="P8" s="9" t="s">
        <v>56</v>
      </c>
      <c r="Q8" s="9" t="s">
        <v>56</v>
      </c>
      <c r="R8" s="9">
        <v>50000.0</v>
      </c>
      <c r="S8" s="9">
        <v>350000.0</v>
      </c>
      <c r="T8" s="9" t="s">
        <v>63</v>
      </c>
      <c r="U8" s="9">
        <v>38.0</v>
      </c>
      <c r="V8" s="9">
        <v>0.4</v>
      </c>
      <c r="W8" s="9" t="s">
        <v>1221</v>
      </c>
      <c r="X8" s="9" t="s">
        <v>1222</v>
      </c>
      <c r="Y8" s="9" t="s">
        <v>1104</v>
      </c>
      <c r="Z8" s="9">
        <v>12.0</v>
      </c>
    </row>
    <row r="9">
      <c r="A9" s="9" t="s">
        <v>1223</v>
      </c>
      <c r="B9" s="9" t="s">
        <v>1224</v>
      </c>
      <c r="C9" s="9"/>
      <c r="D9" s="9" t="s">
        <v>1225</v>
      </c>
      <c r="E9" s="9" t="s">
        <v>1216</v>
      </c>
      <c r="F9" s="9" t="s">
        <v>56</v>
      </c>
      <c r="G9" s="9" t="s">
        <v>1226</v>
      </c>
      <c r="H9" s="9" t="s">
        <v>948</v>
      </c>
      <c r="I9" s="9" t="s">
        <v>1219</v>
      </c>
      <c r="J9" s="9" t="s">
        <v>1219</v>
      </c>
      <c r="K9" s="9">
        <v>1.8E7</v>
      </c>
      <c r="L9" s="9">
        <v>1.4E7</v>
      </c>
      <c r="M9" s="9" t="s">
        <v>796</v>
      </c>
      <c r="N9" s="9" t="s">
        <v>804</v>
      </c>
      <c r="O9" s="9" t="s">
        <v>56</v>
      </c>
      <c r="P9" s="9" t="s">
        <v>56</v>
      </c>
      <c r="Q9" s="9" t="s">
        <v>63</v>
      </c>
      <c r="R9" s="9">
        <v>0.0</v>
      </c>
      <c r="S9" s="9">
        <v>0.0</v>
      </c>
      <c r="T9" s="9" t="s">
        <v>63</v>
      </c>
      <c r="U9" s="9">
        <v>12.5</v>
      </c>
      <c r="V9" s="9">
        <v>0.05</v>
      </c>
      <c r="W9" s="9"/>
      <c r="X9" s="9"/>
      <c r="Y9" s="9" t="s">
        <v>1104</v>
      </c>
      <c r="Z9" s="9">
        <v>6.0</v>
      </c>
    </row>
    <row r="10">
      <c r="A10" s="9" t="s">
        <v>1227</v>
      </c>
      <c r="B10" s="9" t="s">
        <v>1228</v>
      </c>
      <c r="C10" s="9"/>
      <c r="D10" s="9" t="s">
        <v>1229</v>
      </c>
      <c r="E10" s="9" t="s">
        <v>1230</v>
      </c>
      <c r="F10" s="9" t="s">
        <v>63</v>
      </c>
      <c r="G10" s="9" t="s">
        <v>1231</v>
      </c>
      <c r="H10" s="9" t="s">
        <v>951</v>
      </c>
      <c r="I10" s="9" t="s">
        <v>1219</v>
      </c>
      <c r="J10" s="9" t="s">
        <v>1219</v>
      </c>
      <c r="K10" s="9">
        <v>5000000.0</v>
      </c>
      <c r="L10" s="9">
        <v>0.0</v>
      </c>
      <c r="M10" s="9" t="s">
        <v>796</v>
      </c>
      <c r="N10" s="9"/>
      <c r="O10" s="9" t="s">
        <v>56</v>
      </c>
      <c r="P10" s="9" t="s">
        <v>63</v>
      </c>
      <c r="Q10" s="9" t="s">
        <v>56</v>
      </c>
      <c r="R10" s="9">
        <v>100000.0</v>
      </c>
      <c r="S10" s="9">
        <v>1000000.0</v>
      </c>
      <c r="T10" s="9" t="s">
        <v>56</v>
      </c>
      <c r="U10" s="9">
        <v>0.0</v>
      </c>
      <c r="V10" s="9">
        <v>0.0</v>
      </c>
      <c r="W10" s="9" t="s">
        <v>1232</v>
      </c>
      <c r="X10" s="9"/>
      <c r="Y10" s="9"/>
      <c r="Z10" s="9">
        <v>0.0</v>
      </c>
    </row>
    <row r="11">
      <c r="A11" s="17" t="s">
        <v>1042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1"/>
      <c r="B12" s="11"/>
      <c r="C12" s="11"/>
      <c r="D12" s="12" t="s">
        <v>1233</v>
      </c>
      <c r="E12" s="12" t="s">
        <v>1234</v>
      </c>
      <c r="F12" s="12" t="b">
        <v>0</v>
      </c>
      <c r="G12" s="11"/>
      <c r="H12" s="15"/>
      <c r="I12" s="12" t="s">
        <v>1235</v>
      </c>
      <c r="J12" s="12" t="s">
        <v>1235</v>
      </c>
      <c r="K12" s="19">
        <f>150*10^6*111%</f>
        <v>166500000</v>
      </c>
      <c r="L12" s="11"/>
      <c r="M12" s="11"/>
      <c r="N12" s="11"/>
      <c r="O12" s="12" t="b">
        <v>1</v>
      </c>
      <c r="P12" s="11"/>
      <c r="Q12" s="11"/>
      <c r="R12" s="11"/>
      <c r="S12" s="11"/>
      <c r="T12" s="11"/>
      <c r="U12" s="11"/>
      <c r="V12" s="11"/>
      <c r="W12" s="12" t="s">
        <v>1236</v>
      </c>
      <c r="X12" s="11"/>
      <c r="Y12" s="11"/>
      <c r="Z12" s="11"/>
    </row>
    <row r="13">
      <c r="A13" s="11"/>
      <c r="B13" s="11"/>
      <c r="C13" s="11"/>
      <c r="D13" s="12" t="s">
        <v>1237</v>
      </c>
      <c r="E13" s="12" t="s">
        <v>1234</v>
      </c>
      <c r="F13" s="12" t="b">
        <v>0</v>
      </c>
      <c r="G13" s="11"/>
      <c r="H13" s="15"/>
      <c r="I13" s="12" t="s">
        <v>1235</v>
      </c>
      <c r="J13" s="12" t="s">
        <v>1235</v>
      </c>
      <c r="K13" s="19">
        <f>200*10^6*111%</f>
        <v>222000000</v>
      </c>
      <c r="L13" s="11"/>
      <c r="M13" s="11"/>
      <c r="N13" s="11"/>
      <c r="O13" s="12" t="b">
        <v>1</v>
      </c>
      <c r="P13" s="11"/>
      <c r="Q13" s="11"/>
      <c r="R13" s="11"/>
      <c r="S13" s="11"/>
      <c r="T13" s="11"/>
      <c r="U13" s="11"/>
      <c r="V13" s="11"/>
      <c r="W13" s="12" t="s">
        <v>1236</v>
      </c>
      <c r="X13" s="11"/>
      <c r="Y13" s="11"/>
      <c r="Z13" s="11"/>
    </row>
    <row r="14">
      <c r="A14" s="11"/>
      <c r="B14" s="11"/>
      <c r="C14" s="11"/>
      <c r="D14" s="12" t="s">
        <v>1238</v>
      </c>
      <c r="E14" s="12" t="s">
        <v>1234</v>
      </c>
      <c r="F14" s="12" t="b">
        <v>0</v>
      </c>
      <c r="G14" s="11"/>
      <c r="H14" s="15"/>
      <c r="I14" s="12" t="s">
        <v>1235</v>
      </c>
      <c r="J14" s="12" t="s">
        <v>1235</v>
      </c>
      <c r="K14" s="19">
        <f>300*10^6*111%</f>
        <v>333000000</v>
      </c>
      <c r="L14" s="11"/>
      <c r="M14" s="11"/>
      <c r="N14" s="11"/>
      <c r="O14" s="12" t="b">
        <v>1</v>
      </c>
      <c r="P14" s="11"/>
      <c r="Q14" s="11"/>
      <c r="R14" s="11"/>
      <c r="S14" s="11"/>
      <c r="T14" s="11"/>
      <c r="U14" s="11"/>
      <c r="V14" s="11"/>
      <c r="W14" s="12" t="s">
        <v>1236</v>
      </c>
      <c r="X14" s="11"/>
      <c r="Y14" s="11"/>
      <c r="Z14" s="11"/>
    </row>
    <row r="15">
      <c r="A15" s="11"/>
      <c r="B15" s="11"/>
      <c r="C15" s="11"/>
      <c r="D15" s="12" t="s">
        <v>1239</v>
      </c>
      <c r="E15" s="12" t="s">
        <v>1234</v>
      </c>
      <c r="F15" s="12" t="b">
        <v>0</v>
      </c>
      <c r="G15" s="11"/>
      <c r="H15" s="15"/>
      <c r="I15" s="12" t="s">
        <v>1235</v>
      </c>
      <c r="J15" s="12" t="s">
        <v>1235</v>
      </c>
      <c r="K15" s="19">
        <f>400*10^6*111%</f>
        <v>444000000</v>
      </c>
      <c r="L15" s="11"/>
      <c r="M15" s="11"/>
      <c r="N15" s="11"/>
      <c r="O15" s="12" t="b">
        <v>1</v>
      </c>
      <c r="P15" s="11"/>
      <c r="Q15" s="11"/>
      <c r="R15" s="11"/>
      <c r="S15" s="11"/>
      <c r="T15" s="11"/>
      <c r="U15" s="11"/>
      <c r="V15" s="11"/>
      <c r="W15" s="12" t="s">
        <v>1236</v>
      </c>
      <c r="X15" s="11"/>
      <c r="Y15" s="11"/>
      <c r="Z15" s="11"/>
    </row>
    <row r="16">
      <c r="A16" s="11"/>
      <c r="B16" s="11"/>
      <c r="C16" s="11"/>
      <c r="D16" s="12" t="s">
        <v>1240</v>
      </c>
      <c r="E16" s="12" t="s">
        <v>1234</v>
      </c>
      <c r="F16" s="12" t="b">
        <v>0</v>
      </c>
      <c r="G16" s="11"/>
      <c r="H16" s="15"/>
      <c r="I16" s="12" t="s">
        <v>1235</v>
      </c>
      <c r="J16" s="12" t="s">
        <v>1235</v>
      </c>
      <c r="K16" s="19">
        <f>500*10^6*111%</f>
        <v>555000000</v>
      </c>
      <c r="L16" s="11"/>
      <c r="M16" s="11"/>
      <c r="N16" s="11"/>
      <c r="O16" s="12" t="b">
        <v>1</v>
      </c>
      <c r="P16" s="11"/>
      <c r="Q16" s="11"/>
      <c r="R16" s="11"/>
      <c r="S16" s="11"/>
      <c r="T16" s="11"/>
      <c r="U16" s="11"/>
      <c r="V16" s="11"/>
      <c r="W16" s="12" t="s">
        <v>1236</v>
      </c>
      <c r="X16" s="11"/>
      <c r="Y16" s="11"/>
      <c r="Z16" s="11"/>
    </row>
    <row r="17">
      <c r="A17" s="11"/>
      <c r="B17" s="11"/>
      <c r="C17" s="11"/>
      <c r="D17" s="12" t="s">
        <v>1241</v>
      </c>
      <c r="E17" s="12" t="s">
        <v>1234</v>
      </c>
      <c r="F17" s="12" t="b">
        <v>0</v>
      </c>
      <c r="G17" s="11"/>
      <c r="H17" s="15"/>
      <c r="I17" s="12" t="s">
        <v>1235</v>
      </c>
      <c r="J17" s="12" t="s">
        <v>1235</v>
      </c>
      <c r="K17" s="19">
        <f>600*120*10^4*111%</f>
        <v>799200000</v>
      </c>
      <c r="L17" s="11"/>
      <c r="M17" s="11"/>
      <c r="N17" s="11"/>
      <c r="O17" s="12" t="b">
        <v>1</v>
      </c>
      <c r="P17" s="11"/>
      <c r="Q17" s="11"/>
      <c r="R17" s="11"/>
      <c r="S17" s="11"/>
      <c r="T17" s="11"/>
      <c r="U17" s="11"/>
      <c r="V17" s="11"/>
      <c r="W17" s="12" t="s">
        <v>1236</v>
      </c>
      <c r="X17" s="11"/>
      <c r="Y17" s="11"/>
      <c r="Z17" s="11"/>
    </row>
    <row r="18">
      <c r="A18" s="11"/>
      <c r="B18" s="11"/>
      <c r="C18" s="11"/>
      <c r="D18" s="12" t="s">
        <v>1242</v>
      </c>
      <c r="E18" s="12" t="s">
        <v>1234</v>
      </c>
      <c r="F18" s="12" t="b">
        <v>0</v>
      </c>
      <c r="G18" s="11"/>
      <c r="H18" s="15"/>
      <c r="I18" s="12" t="s">
        <v>1235</v>
      </c>
      <c r="J18" s="12" t="s">
        <v>1235</v>
      </c>
      <c r="K18" s="19">
        <f>700*120*10^4*111%</f>
        <v>932400000</v>
      </c>
      <c r="L18" s="11"/>
      <c r="M18" s="11"/>
      <c r="N18" s="11"/>
      <c r="O18" s="12" t="b">
        <v>1</v>
      </c>
      <c r="P18" s="11"/>
      <c r="Q18" s="11"/>
      <c r="R18" s="11"/>
      <c r="S18" s="11"/>
      <c r="T18" s="11"/>
      <c r="U18" s="11"/>
      <c r="V18" s="11"/>
      <c r="W18" s="12" t="s">
        <v>1236</v>
      </c>
      <c r="X18" s="11"/>
      <c r="Y18" s="11"/>
      <c r="Z18" s="11"/>
    </row>
    <row r="19">
      <c r="A19" s="11"/>
      <c r="B19" s="11"/>
      <c r="C19" s="11"/>
      <c r="D19" s="12" t="s">
        <v>1243</v>
      </c>
      <c r="E19" s="12" t="s">
        <v>1234</v>
      </c>
      <c r="F19" s="12" t="b">
        <v>0</v>
      </c>
      <c r="G19" s="11"/>
      <c r="H19" s="15"/>
      <c r="I19" s="12" t="s">
        <v>1235</v>
      </c>
      <c r="J19" s="12" t="s">
        <v>1235</v>
      </c>
      <c r="K19" s="19">
        <f>800*120*10^4*111%</f>
        <v>1065600000</v>
      </c>
      <c r="L19" s="11"/>
      <c r="M19" s="11"/>
      <c r="N19" s="11"/>
      <c r="O19" s="12" t="b">
        <v>1</v>
      </c>
      <c r="P19" s="11"/>
      <c r="Q19" s="11"/>
      <c r="R19" s="11"/>
      <c r="S19" s="11"/>
      <c r="T19" s="11"/>
      <c r="U19" s="11"/>
      <c r="V19" s="11"/>
      <c r="W19" s="12" t="s">
        <v>1236</v>
      </c>
      <c r="X19" s="11"/>
      <c r="Y19" s="11"/>
      <c r="Z19" s="11"/>
    </row>
    <row r="20">
      <c r="A20" s="11"/>
      <c r="B20" s="11"/>
      <c r="C20" s="11"/>
      <c r="D20" s="12" t="s">
        <v>1244</v>
      </c>
      <c r="E20" s="12" t="s">
        <v>1234</v>
      </c>
      <c r="F20" s="12" t="b">
        <v>0</v>
      </c>
      <c r="G20" s="11"/>
      <c r="H20" s="15"/>
      <c r="I20" s="12" t="s">
        <v>1235</v>
      </c>
      <c r="J20" s="12" t="s">
        <v>1235</v>
      </c>
      <c r="K20" s="19">
        <f>900*120*10^4*111%</f>
        <v>1198800000</v>
      </c>
      <c r="L20" s="11"/>
      <c r="M20" s="11"/>
      <c r="N20" s="11"/>
      <c r="O20" s="12" t="b">
        <v>1</v>
      </c>
      <c r="P20" s="11"/>
      <c r="Q20" s="11"/>
      <c r="R20" s="11"/>
      <c r="S20" s="11"/>
      <c r="T20" s="11"/>
      <c r="U20" s="11"/>
      <c r="V20" s="11"/>
      <c r="W20" s="12" t="s">
        <v>1236</v>
      </c>
      <c r="X20" s="11"/>
      <c r="Y20" s="11"/>
      <c r="Z20" s="11"/>
    </row>
    <row r="21" ht="15.75" customHeight="1">
      <c r="A21" s="11"/>
      <c r="B21" s="11"/>
      <c r="C21" s="11"/>
      <c r="D21" s="12" t="s">
        <v>1245</v>
      </c>
      <c r="E21" s="12" t="s">
        <v>1234</v>
      </c>
      <c r="F21" s="12" t="b">
        <v>0</v>
      </c>
      <c r="G21" s="11"/>
      <c r="H21" s="15"/>
      <c r="I21" s="12" t="s">
        <v>1235</v>
      </c>
      <c r="J21" s="12" t="s">
        <v>1235</v>
      </c>
      <c r="K21" s="19">
        <f>1000*1350*10^3*111%</f>
        <v>1498500000</v>
      </c>
      <c r="L21" s="11"/>
      <c r="M21" s="11"/>
      <c r="N21" s="11"/>
      <c r="O21" s="12" t="b">
        <v>1</v>
      </c>
      <c r="P21" s="11"/>
      <c r="Q21" s="11"/>
      <c r="R21" s="11"/>
      <c r="S21" s="11"/>
      <c r="T21" s="11"/>
      <c r="U21" s="11"/>
      <c r="V21" s="11"/>
      <c r="W21" s="12" t="s">
        <v>1236</v>
      </c>
      <c r="X21" s="11"/>
      <c r="Y21" s="11"/>
      <c r="Z21" s="11"/>
    </row>
    <row r="22" ht="15.75" customHeight="1">
      <c r="A22" s="11"/>
      <c r="B22" s="11"/>
      <c r="C22" s="11"/>
      <c r="D22" s="12" t="s">
        <v>1246</v>
      </c>
      <c r="E22" s="12" t="s">
        <v>1234</v>
      </c>
      <c r="F22" s="12" t="b">
        <v>0</v>
      </c>
      <c r="G22" s="11"/>
      <c r="H22" s="15"/>
      <c r="I22" s="12" t="s">
        <v>1235</v>
      </c>
      <c r="J22" s="12" t="s">
        <v>1235</v>
      </c>
      <c r="K22" s="19">
        <f>1400*1350*10^3*111%</f>
        <v>2097900000</v>
      </c>
      <c r="L22" s="19"/>
      <c r="M22" s="11"/>
      <c r="N22" s="11"/>
      <c r="O22" s="12" t="b">
        <v>1</v>
      </c>
      <c r="P22" s="11"/>
      <c r="Q22" s="11"/>
      <c r="R22" s="11"/>
      <c r="S22" s="11"/>
      <c r="T22" s="11"/>
      <c r="U22" s="11"/>
      <c r="V22" s="11"/>
      <c r="W22" s="12" t="s">
        <v>1236</v>
      </c>
      <c r="X22" s="11"/>
      <c r="Y22" s="11"/>
      <c r="Z22" s="11"/>
    </row>
    <row r="23" ht="15.75" customHeight="1">
      <c r="A23" s="11"/>
      <c r="B23" s="11"/>
      <c r="C23" s="11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7" t="s">
        <v>1065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1"/>
      <c r="B25" s="11"/>
      <c r="C25" s="11"/>
      <c r="D25" s="12" t="s">
        <v>1247</v>
      </c>
      <c r="E25" s="12" t="s">
        <v>1248</v>
      </c>
      <c r="F25" s="12" t="b">
        <v>1</v>
      </c>
      <c r="G25" s="11"/>
      <c r="H25" s="11"/>
      <c r="I25" s="12" t="s">
        <v>1249</v>
      </c>
      <c r="J25" s="12" t="s">
        <v>1249</v>
      </c>
      <c r="K25" s="19">
        <f>1*10^6</f>
        <v>1000000</v>
      </c>
      <c r="L25" s="11"/>
      <c r="M25" s="11"/>
      <c r="N25" s="11"/>
      <c r="O25" s="12" t="b">
        <v>1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Z1"/>
    <mergeCell ref="A2:Z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4.0"/>
    <col customWidth="1" min="2" max="5" width="18.0"/>
    <col customWidth="1" min="6" max="6" width="23.0"/>
    <col customWidth="1" min="7" max="26" width="8.71"/>
  </cols>
  <sheetData>
    <row r="1">
      <c r="A1" s="1" t="s">
        <v>1250</v>
      </c>
    </row>
    <row r="2" ht="37.5" customHeight="1">
      <c r="A2" s="3" t="s">
        <v>1251</v>
      </c>
    </row>
    <row r="4">
      <c r="A4" s="4" t="s">
        <v>1252</v>
      </c>
      <c r="B4" s="4" t="s">
        <v>1253</v>
      </c>
      <c r="C4" s="4" t="s">
        <v>1254</v>
      </c>
      <c r="D4" s="4" t="s">
        <v>1255</v>
      </c>
      <c r="E4" s="4" t="s">
        <v>7</v>
      </c>
      <c r="F4" s="4" t="s">
        <v>1256</v>
      </c>
    </row>
    <row r="5">
      <c r="A5" s="5" t="s">
        <v>1257</v>
      </c>
      <c r="B5" s="5" t="s">
        <v>1258</v>
      </c>
      <c r="C5" s="5" t="s">
        <v>1249</v>
      </c>
      <c r="D5" s="5" t="s">
        <v>1259</v>
      </c>
      <c r="E5" s="6" t="s">
        <v>836</v>
      </c>
      <c r="F5" s="6" t="s">
        <v>1260</v>
      </c>
    </row>
    <row r="6">
      <c r="A6" s="7" t="s">
        <v>36</v>
      </c>
      <c r="B6" s="7" t="s">
        <v>36</v>
      </c>
      <c r="C6" s="7" t="s">
        <v>36</v>
      </c>
      <c r="D6" s="7" t="s">
        <v>36</v>
      </c>
      <c r="E6" s="7" t="s">
        <v>38</v>
      </c>
      <c r="F6" s="7" t="s">
        <v>38</v>
      </c>
    </row>
    <row r="7" ht="90.0" customHeight="1">
      <c r="A7" s="8" t="s">
        <v>1261</v>
      </c>
      <c r="B7" s="8" t="s">
        <v>1262</v>
      </c>
      <c r="C7" s="8" t="s">
        <v>1263</v>
      </c>
      <c r="D7" s="8" t="s">
        <v>1264</v>
      </c>
      <c r="E7" s="8" t="s">
        <v>1265</v>
      </c>
      <c r="F7" s="8" t="s">
        <v>1266</v>
      </c>
    </row>
    <row r="8">
      <c r="A8" s="9" t="s">
        <v>1213</v>
      </c>
      <c r="B8" s="9">
        <v>1.0</v>
      </c>
      <c r="C8" s="9" t="s">
        <v>1267</v>
      </c>
      <c r="D8" s="9">
        <v>3500000.0</v>
      </c>
      <c r="E8" s="9" t="s">
        <v>54</v>
      </c>
      <c r="F8" s="9"/>
    </row>
    <row r="9">
      <c r="A9" s="9" t="s">
        <v>1213</v>
      </c>
      <c r="B9" s="9">
        <v>7.0</v>
      </c>
      <c r="C9" s="9" t="s">
        <v>1267</v>
      </c>
      <c r="D9" s="9">
        <v>2.1E7</v>
      </c>
      <c r="E9" s="9" t="s">
        <v>54</v>
      </c>
      <c r="F9" s="9"/>
    </row>
    <row r="10">
      <c r="A10" s="9" t="s">
        <v>1213</v>
      </c>
      <c r="B10" s="9">
        <v>1.0</v>
      </c>
      <c r="C10" s="9" t="s">
        <v>1268</v>
      </c>
      <c r="D10" s="9">
        <v>7.5E7</v>
      </c>
      <c r="E10" s="9" t="s">
        <v>54</v>
      </c>
      <c r="F10" s="9"/>
    </row>
    <row r="11">
      <c r="A11" s="9" t="s">
        <v>1227</v>
      </c>
      <c r="B11" s="9">
        <v>1.0</v>
      </c>
      <c r="C11" s="9" t="s">
        <v>1267</v>
      </c>
      <c r="D11" s="9">
        <v>5000000.0</v>
      </c>
      <c r="E11" s="9" t="s">
        <v>54</v>
      </c>
      <c r="F11" s="9"/>
    </row>
    <row r="12">
      <c r="A12" s="9" t="s">
        <v>1227</v>
      </c>
      <c r="B12" s="9">
        <v>1.0</v>
      </c>
      <c r="C12" s="9" t="s">
        <v>1269</v>
      </c>
      <c r="D12" s="9">
        <v>2.8E7</v>
      </c>
      <c r="E12" s="9" t="s">
        <v>54</v>
      </c>
      <c r="F12" s="9"/>
    </row>
    <row r="13">
      <c r="A13" s="11"/>
      <c r="B13" s="11"/>
      <c r="C13" s="11"/>
      <c r="D13" s="11"/>
      <c r="E13" s="11"/>
      <c r="F13" s="11"/>
    </row>
    <row r="14">
      <c r="A14" s="11"/>
      <c r="B14" s="12"/>
      <c r="C14" s="12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33.0"/>
    <col customWidth="1" min="4" max="6" width="18.0"/>
    <col customWidth="1" min="7" max="26" width="8.71"/>
  </cols>
  <sheetData>
    <row r="1">
      <c r="A1" s="1" t="s">
        <v>1270</v>
      </c>
    </row>
    <row r="2" ht="37.5" customHeight="1">
      <c r="A2" s="3" t="s">
        <v>1271</v>
      </c>
    </row>
    <row r="3">
      <c r="E3" s="20"/>
    </row>
    <row r="4">
      <c r="A4" s="21" t="s">
        <v>1272</v>
      </c>
      <c r="B4" s="21" t="s">
        <v>1273</v>
      </c>
      <c r="C4" s="21" t="s">
        <v>1274</v>
      </c>
      <c r="D4" s="21" t="s">
        <v>1275</v>
      </c>
      <c r="E4" s="22" t="s">
        <v>1276</v>
      </c>
      <c r="F4" s="21" t="s">
        <v>74</v>
      </c>
    </row>
    <row r="5">
      <c r="A5" s="23" t="s">
        <v>1277</v>
      </c>
      <c r="B5" s="24" t="s">
        <v>1278</v>
      </c>
      <c r="C5" s="23" t="s">
        <v>1279</v>
      </c>
      <c r="D5" s="23" t="s">
        <v>1280</v>
      </c>
      <c r="E5" s="25" t="s">
        <v>1281</v>
      </c>
      <c r="F5" s="24" t="s">
        <v>85</v>
      </c>
    </row>
    <row r="6">
      <c r="A6" s="26" t="s">
        <v>36</v>
      </c>
      <c r="B6" s="26" t="s">
        <v>38</v>
      </c>
      <c r="C6" s="26" t="s">
        <v>36</v>
      </c>
      <c r="D6" s="26" t="s">
        <v>36</v>
      </c>
      <c r="E6" s="27" t="s">
        <v>38</v>
      </c>
      <c r="F6" s="26" t="s">
        <v>38</v>
      </c>
    </row>
    <row r="7" ht="90.0" customHeight="1">
      <c r="A7" s="28" t="s">
        <v>1282</v>
      </c>
      <c r="B7" s="28" t="s">
        <v>1283</v>
      </c>
      <c r="C7" s="28" t="s">
        <v>1284</v>
      </c>
      <c r="D7" s="28" t="s">
        <v>1096</v>
      </c>
      <c r="E7" s="29" t="s">
        <v>1285</v>
      </c>
      <c r="F7" s="28"/>
    </row>
    <row r="8">
      <c r="A8" s="30" t="s">
        <v>1286</v>
      </c>
      <c r="B8" s="31">
        <v>10.0</v>
      </c>
      <c r="C8" s="30" t="s">
        <v>1287</v>
      </c>
      <c r="D8" s="30">
        <v>1500.0</v>
      </c>
      <c r="E8" s="32">
        <v>1.51E7</v>
      </c>
      <c r="F8" s="30" t="s">
        <v>1288</v>
      </c>
    </row>
    <row r="9">
      <c r="A9" s="30" t="s">
        <v>1286</v>
      </c>
      <c r="B9" s="31">
        <v>20.0</v>
      </c>
      <c r="C9" s="30" t="s">
        <v>1289</v>
      </c>
      <c r="D9" s="30">
        <v>1600.0</v>
      </c>
      <c r="E9" s="32">
        <v>1700000.0</v>
      </c>
      <c r="F9" s="30" t="s">
        <v>1290</v>
      </c>
    </row>
    <row r="10">
      <c r="A10" s="30" t="s">
        <v>1286</v>
      </c>
      <c r="B10" s="31">
        <v>30.0</v>
      </c>
      <c r="C10" s="30" t="s">
        <v>1291</v>
      </c>
      <c r="D10" s="30">
        <v>53.0</v>
      </c>
      <c r="E10" s="32">
        <v>1.45E7</v>
      </c>
      <c r="F10" s="31" t="s">
        <v>1292</v>
      </c>
    </row>
    <row r="11">
      <c r="A11" s="30" t="s">
        <v>1286</v>
      </c>
      <c r="B11" s="11"/>
      <c r="C11" s="30" t="s">
        <v>1293</v>
      </c>
      <c r="D11" s="12">
        <v>3.0</v>
      </c>
      <c r="E11" s="33">
        <v>2.75E7</v>
      </c>
      <c r="F11" s="11"/>
    </row>
    <row r="12">
      <c r="A12" s="30" t="s">
        <v>1286</v>
      </c>
      <c r="B12" s="11"/>
      <c r="C12" s="30" t="s">
        <v>1294</v>
      </c>
      <c r="D12" s="12">
        <v>12.0</v>
      </c>
      <c r="E12" s="33">
        <v>470000.0</v>
      </c>
      <c r="F12" s="11"/>
    </row>
    <row r="13">
      <c r="A13" s="30" t="s">
        <v>1286</v>
      </c>
      <c r="B13" s="11"/>
      <c r="C13" s="30" t="s">
        <v>1295</v>
      </c>
      <c r="D13" s="12">
        <v>3.0</v>
      </c>
      <c r="E13" s="33">
        <v>632000.0</v>
      </c>
      <c r="F13" s="11"/>
    </row>
    <row r="14">
      <c r="A14" s="30" t="s">
        <v>1286</v>
      </c>
      <c r="B14" s="11"/>
      <c r="C14" s="30" t="s">
        <v>1296</v>
      </c>
      <c r="D14" s="12">
        <v>3.0</v>
      </c>
      <c r="E14" s="33">
        <v>1.21E7</v>
      </c>
      <c r="F14" s="11"/>
    </row>
    <row r="15">
      <c r="A15" s="30" t="s">
        <v>1286</v>
      </c>
      <c r="B15" s="11"/>
      <c r="C15" s="30" t="s">
        <v>1297</v>
      </c>
      <c r="D15" s="12">
        <v>11.0</v>
      </c>
      <c r="E15" s="33">
        <v>160000.0</v>
      </c>
      <c r="F15" s="11"/>
    </row>
    <row r="16">
      <c r="A16" s="30" t="s">
        <v>1286</v>
      </c>
      <c r="B16" s="11"/>
      <c r="C16" s="30" t="s">
        <v>1298</v>
      </c>
      <c r="D16" s="12">
        <v>11.0</v>
      </c>
      <c r="E16" s="33">
        <v>2800000.0</v>
      </c>
      <c r="F16" s="11"/>
    </row>
    <row r="17">
      <c r="A17" s="30" t="s">
        <v>1286</v>
      </c>
      <c r="B17" s="11"/>
      <c r="C17" s="30" t="s">
        <v>1299</v>
      </c>
      <c r="D17" s="12">
        <v>11.0</v>
      </c>
      <c r="E17" s="33">
        <v>230000.0</v>
      </c>
      <c r="F17" s="11"/>
    </row>
    <row r="18">
      <c r="A18" s="30" t="s">
        <v>1286</v>
      </c>
      <c r="B18" s="11"/>
      <c r="C18" s="30" t="s">
        <v>1300</v>
      </c>
      <c r="D18" s="12">
        <v>32.0</v>
      </c>
      <c r="E18" s="33">
        <v>685000.0</v>
      </c>
      <c r="F18" s="11"/>
    </row>
    <row r="19">
      <c r="A19" s="30" t="s">
        <v>1286</v>
      </c>
      <c r="B19" s="11"/>
      <c r="C19" s="30" t="s">
        <v>1301</v>
      </c>
      <c r="D19" s="12">
        <v>75.0</v>
      </c>
      <c r="E19" s="33">
        <v>115000.0</v>
      </c>
      <c r="F19" s="11"/>
    </row>
    <row r="20">
      <c r="A20" s="30" t="s">
        <v>1286</v>
      </c>
      <c r="B20" s="11"/>
      <c r="C20" s="30" t="s">
        <v>1302</v>
      </c>
      <c r="D20" s="12">
        <v>3.0</v>
      </c>
      <c r="E20" s="33">
        <v>1.598E8</v>
      </c>
      <c r="F20" s="11"/>
    </row>
    <row r="21" ht="15.75" customHeight="1">
      <c r="A21" s="30" t="s">
        <v>1286</v>
      </c>
      <c r="B21" s="11"/>
      <c r="C21" s="30" t="s">
        <v>1303</v>
      </c>
      <c r="D21" s="12">
        <v>3.0</v>
      </c>
      <c r="E21" s="33">
        <v>1.392E8</v>
      </c>
      <c r="F21" s="11"/>
    </row>
    <row r="22" ht="15.75" customHeight="1">
      <c r="A22" s="11"/>
      <c r="B22" s="11"/>
      <c r="C22" s="10"/>
      <c r="D22" s="11"/>
      <c r="E22" s="34"/>
      <c r="F22" s="11"/>
    </row>
    <row r="23" ht="15.75" customHeight="1">
      <c r="A23" s="11"/>
      <c r="B23" s="11"/>
      <c r="C23" s="10"/>
      <c r="D23" s="11"/>
      <c r="E23" s="34"/>
      <c r="F23" s="11"/>
    </row>
    <row r="24" ht="15.75" customHeight="1">
      <c r="A24" s="11"/>
      <c r="B24" s="11"/>
      <c r="C24" s="10"/>
      <c r="D24" s="11"/>
      <c r="E24" s="34"/>
      <c r="F24" s="11"/>
    </row>
    <row r="25" ht="15.75" customHeight="1">
      <c r="A25" s="11"/>
      <c r="B25" s="11"/>
      <c r="C25" s="11"/>
      <c r="D25" s="11"/>
      <c r="E25" s="34"/>
      <c r="F25" s="11"/>
    </row>
    <row r="26" ht="15.75" customHeight="1">
      <c r="E26" s="20"/>
    </row>
    <row r="27" ht="15.75" customHeight="1">
      <c r="E27" s="20"/>
    </row>
    <row r="28" ht="15.75" customHeight="1">
      <c r="E28" s="20"/>
    </row>
    <row r="29" ht="15.75" customHeight="1">
      <c r="E29" s="20"/>
    </row>
    <row r="30" ht="15.75" customHeight="1">
      <c r="E30" s="20"/>
    </row>
    <row r="31" ht="15.75" customHeight="1">
      <c r="E31" s="20"/>
    </row>
    <row r="32" ht="15.75" customHeight="1">
      <c r="E32" s="20"/>
    </row>
    <row r="33" ht="15.75" customHeight="1">
      <c r="E33" s="20"/>
    </row>
    <row r="34" ht="15.75" customHeight="1">
      <c r="E34" s="20"/>
    </row>
    <row r="35" ht="15.75" customHeight="1">
      <c r="E35" s="20"/>
    </row>
    <row r="36" ht="15.75" customHeight="1">
      <c r="E36" s="20"/>
    </row>
    <row r="37" ht="15.75" customHeight="1">
      <c r="E37" s="20"/>
    </row>
    <row r="38" ht="15.75" customHeight="1">
      <c r="E38" s="20"/>
    </row>
    <row r="39" ht="15.75" customHeight="1">
      <c r="E39" s="20"/>
    </row>
    <row r="40" ht="15.75" customHeight="1">
      <c r="E40" s="20"/>
    </row>
    <row r="41" ht="15.75" customHeight="1">
      <c r="E41" s="20"/>
    </row>
    <row r="42" ht="15.75" customHeight="1">
      <c r="E42" s="20"/>
    </row>
    <row r="43" ht="15.75" customHeight="1">
      <c r="E43" s="20"/>
    </row>
    <row r="44" ht="15.75" customHeight="1">
      <c r="E44" s="20"/>
    </row>
    <row r="45" ht="15.75" customHeight="1">
      <c r="E45" s="20"/>
    </row>
    <row r="46" ht="15.75" customHeight="1">
      <c r="E46" s="20"/>
    </row>
    <row r="47" ht="15.75" customHeight="1">
      <c r="E47" s="20"/>
    </row>
    <row r="48" ht="15.75" customHeight="1">
      <c r="E48" s="20"/>
    </row>
    <row r="49" ht="15.75" customHeight="1">
      <c r="E49" s="20"/>
    </row>
    <row r="50" ht="15.75" customHeight="1">
      <c r="E50" s="20"/>
    </row>
    <row r="51" ht="15.75" customHeight="1">
      <c r="E51" s="20"/>
    </row>
    <row r="52" ht="15.75" customHeight="1">
      <c r="E52" s="20"/>
    </row>
    <row r="53" ht="15.75" customHeight="1">
      <c r="E53" s="20"/>
    </row>
    <row r="54" ht="15.75" customHeight="1">
      <c r="E54" s="20"/>
    </row>
    <row r="55" ht="15.75" customHeight="1">
      <c r="E55" s="20"/>
    </row>
    <row r="56" ht="15.75" customHeight="1">
      <c r="E56" s="20"/>
    </row>
    <row r="57" ht="15.75" customHeight="1">
      <c r="E57" s="20"/>
    </row>
    <row r="58" ht="15.75" customHeight="1">
      <c r="E58" s="20"/>
    </row>
    <row r="59" ht="15.75" customHeight="1">
      <c r="E59" s="20"/>
    </row>
    <row r="60" ht="15.75" customHeight="1">
      <c r="E60" s="20"/>
    </row>
    <row r="61" ht="15.75" customHeight="1">
      <c r="E61" s="20"/>
    </row>
    <row r="62" ht="15.75" customHeight="1">
      <c r="E62" s="20"/>
    </row>
    <row r="63" ht="15.75" customHeight="1">
      <c r="E63" s="20"/>
    </row>
    <row r="64" ht="15.75" customHeight="1">
      <c r="E64" s="20"/>
    </row>
    <row r="65" ht="15.75" customHeight="1">
      <c r="E65" s="20"/>
    </row>
    <row r="66" ht="15.75" customHeight="1">
      <c r="E66" s="20"/>
    </row>
    <row r="67" ht="15.75" customHeight="1">
      <c r="E67" s="20"/>
    </row>
    <row r="68" ht="15.75" customHeight="1">
      <c r="E68" s="20"/>
    </row>
    <row r="69" ht="15.75" customHeight="1">
      <c r="E69" s="20"/>
    </row>
    <row r="70" ht="15.75" customHeight="1">
      <c r="E70" s="20"/>
    </row>
    <row r="71" ht="15.75" customHeight="1">
      <c r="E71" s="20"/>
    </row>
    <row r="72" ht="15.75" customHeight="1">
      <c r="E72" s="20"/>
    </row>
    <row r="73" ht="15.75" customHeight="1">
      <c r="E73" s="20"/>
    </row>
    <row r="74" ht="15.75" customHeight="1">
      <c r="E74" s="20"/>
    </row>
    <row r="75" ht="15.75" customHeight="1">
      <c r="E75" s="20"/>
    </row>
    <row r="76" ht="15.75" customHeight="1">
      <c r="E76" s="20"/>
    </row>
    <row r="77" ht="15.75" customHeight="1">
      <c r="E77" s="20"/>
    </row>
    <row r="78" ht="15.75" customHeight="1">
      <c r="E78" s="20"/>
    </row>
    <row r="79" ht="15.75" customHeight="1">
      <c r="E79" s="20"/>
    </row>
    <row r="80" ht="15.75" customHeight="1">
      <c r="E80" s="20"/>
    </row>
    <row r="81" ht="15.75" customHeight="1">
      <c r="E81" s="20"/>
    </row>
    <row r="82" ht="15.75" customHeight="1">
      <c r="E82" s="20"/>
    </row>
    <row r="83" ht="15.75" customHeight="1">
      <c r="E83" s="20"/>
    </row>
    <row r="84" ht="15.75" customHeight="1">
      <c r="E84" s="20"/>
    </row>
    <row r="85" ht="15.75" customHeight="1">
      <c r="E85" s="20"/>
    </row>
    <row r="86" ht="15.75" customHeight="1">
      <c r="E86" s="20"/>
    </row>
    <row r="87" ht="15.75" customHeight="1">
      <c r="E87" s="20"/>
    </row>
    <row r="88" ht="15.75" customHeight="1">
      <c r="E88" s="20"/>
    </row>
    <row r="89" ht="15.75" customHeight="1">
      <c r="E89" s="20"/>
    </row>
    <row r="90" ht="15.75" customHeight="1">
      <c r="E90" s="20"/>
    </row>
    <row r="91" ht="15.75" customHeight="1">
      <c r="E91" s="20"/>
    </row>
    <row r="92" ht="15.75" customHeight="1">
      <c r="E92" s="20"/>
    </row>
    <row r="93" ht="15.75" customHeight="1">
      <c r="E93" s="20"/>
    </row>
    <row r="94" ht="15.75" customHeight="1">
      <c r="E94" s="20"/>
    </row>
    <row r="95" ht="15.75" customHeight="1">
      <c r="E95" s="20"/>
    </row>
    <row r="96" ht="15.75" customHeight="1">
      <c r="E96" s="20"/>
    </row>
    <row r="97" ht="15.75" customHeight="1">
      <c r="E97" s="20"/>
    </row>
    <row r="98" ht="15.75" customHeight="1">
      <c r="E98" s="20"/>
    </row>
    <row r="99" ht="15.75" customHeight="1">
      <c r="E99" s="20"/>
    </row>
    <row r="100" ht="15.75" customHeight="1">
      <c r="E100" s="20"/>
    </row>
    <row r="101" ht="15.75" customHeight="1">
      <c r="E101" s="20"/>
    </row>
    <row r="102" ht="15.75" customHeight="1">
      <c r="E102" s="20"/>
    </row>
    <row r="103" ht="15.75" customHeight="1">
      <c r="E103" s="20"/>
    </row>
    <row r="104" ht="15.75" customHeight="1">
      <c r="E104" s="20"/>
    </row>
    <row r="105" ht="15.75" customHeight="1">
      <c r="E105" s="20"/>
    </row>
    <row r="106" ht="15.75" customHeight="1">
      <c r="E106" s="20"/>
    </row>
    <row r="107" ht="15.75" customHeight="1">
      <c r="E107" s="20"/>
    </row>
    <row r="108" ht="15.75" customHeight="1">
      <c r="E108" s="20"/>
    </row>
    <row r="109" ht="15.75" customHeight="1">
      <c r="E109" s="20"/>
    </row>
    <row r="110" ht="15.75" customHeight="1">
      <c r="E110" s="20"/>
    </row>
    <row r="111" ht="15.75" customHeight="1">
      <c r="E111" s="20"/>
    </row>
    <row r="112" ht="15.75" customHeight="1">
      <c r="E112" s="20"/>
    </row>
    <row r="113" ht="15.75" customHeight="1">
      <c r="E113" s="20"/>
    </row>
    <row r="114" ht="15.75" customHeight="1">
      <c r="E114" s="20"/>
    </row>
    <row r="115" ht="15.75" customHeight="1">
      <c r="E115" s="20"/>
    </row>
    <row r="116" ht="15.75" customHeight="1">
      <c r="E116" s="20"/>
    </row>
    <row r="117" ht="15.75" customHeight="1">
      <c r="E117" s="20"/>
    </row>
    <row r="118" ht="15.75" customHeight="1">
      <c r="E118" s="20"/>
    </row>
    <row r="119" ht="15.75" customHeight="1">
      <c r="E119" s="20"/>
    </row>
    <row r="120" ht="15.75" customHeight="1">
      <c r="E120" s="20"/>
    </row>
    <row r="121" ht="15.75" customHeight="1">
      <c r="E121" s="20"/>
    </row>
    <row r="122" ht="15.75" customHeight="1">
      <c r="E122" s="20"/>
    </row>
    <row r="123" ht="15.75" customHeight="1">
      <c r="E123" s="20"/>
    </row>
    <row r="124" ht="15.75" customHeight="1">
      <c r="E124" s="20"/>
    </row>
    <row r="125" ht="15.75" customHeight="1">
      <c r="E125" s="20"/>
    </row>
    <row r="126" ht="15.75" customHeight="1">
      <c r="E126" s="20"/>
    </row>
    <row r="127" ht="15.75" customHeight="1">
      <c r="E127" s="20"/>
    </row>
    <row r="128" ht="15.75" customHeight="1">
      <c r="E128" s="20"/>
    </row>
    <row r="129" ht="15.75" customHeight="1">
      <c r="E129" s="20"/>
    </row>
    <row r="130" ht="15.75" customHeight="1">
      <c r="E130" s="20"/>
    </row>
    <row r="131" ht="15.75" customHeight="1">
      <c r="E131" s="20"/>
    </row>
    <row r="132" ht="15.75" customHeight="1">
      <c r="E132" s="20"/>
    </row>
    <row r="133" ht="15.75" customHeight="1">
      <c r="E133" s="20"/>
    </row>
    <row r="134" ht="15.75" customHeight="1">
      <c r="E134" s="20"/>
    </row>
    <row r="135" ht="15.75" customHeight="1">
      <c r="E135" s="20"/>
    </row>
    <row r="136" ht="15.75" customHeight="1">
      <c r="E136" s="20"/>
    </row>
    <row r="137" ht="15.75" customHeight="1">
      <c r="E137" s="20"/>
    </row>
    <row r="138" ht="15.75" customHeight="1">
      <c r="E138" s="20"/>
    </row>
    <row r="139" ht="15.75" customHeight="1">
      <c r="E139" s="20"/>
    </row>
    <row r="140" ht="15.75" customHeight="1">
      <c r="E140" s="20"/>
    </row>
    <row r="141" ht="15.75" customHeight="1">
      <c r="E141" s="20"/>
    </row>
    <row r="142" ht="15.75" customHeight="1">
      <c r="E142" s="20"/>
    </row>
    <row r="143" ht="15.75" customHeight="1">
      <c r="E143" s="20"/>
    </row>
    <row r="144" ht="15.75" customHeight="1">
      <c r="E144" s="20"/>
    </row>
    <row r="145" ht="15.75" customHeight="1">
      <c r="E145" s="20"/>
    </row>
    <row r="146" ht="15.75" customHeight="1">
      <c r="E146" s="20"/>
    </row>
    <row r="147" ht="15.75" customHeight="1">
      <c r="E147" s="20"/>
    </row>
    <row r="148" ht="15.75" customHeight="1">
      <c r="E148" s="20"/>
    </row>
    <row r="149" ht="15.75" customHeight="1">
      <c r="E149" s="20"/>
    </row>
    <row r="150" ht="15.75" customHeight="1">
      <c r="E150" s="20"/>
    </row>
    <row r="151" ht="15.75" customHeight="1">
      <c r="E151" s="20"/>
    </row>
    <row r="152" ht="15.75" customHeight="1">
      <c r="E152" s="20"/>
    </row>
    <row r="153" ht="15.75" customHeight="1">
      <c r="E153" s="20"/>
    </row>
    <row r="154" ht="15.75" customHeight="1">
      <c r="E154" s="20"/>
    </row>
    <row r="155" ht="15.75" customHeight="1">
      <c r="E155" s="20"/>
    </row>
    <row r="156" ht="15.75" customHeight="1">
      <c r="E156" s="20"/>
    </row>
    <row r="157" ht="15.75" customHeight="1">
      <c r="E157" s="20"/>
    </row>
    <row r="158" ht="15.75" customHeight="1">
      <c r="E158" s="20"/>
    </row>
    <row r="159" ht="15.75" customHeight="1">
      <c r="E159" s="20"/>
    </row>
    <row r="160" ht="15.75" customHeight="1">
      <c r="E160" s="20"/>
    </row>
    <row r="161" ht="15.75" customHeight="1">
      <c r="E161" s="20"/>
    </row>
    <row r="162" ht="15.75" customHeight="1">
      <c r="E162" s="20"/>
    </row>
    <row r="163" ht="15.75" customHeight="1">
      <c r="E163" s="20"/>
    </row>
    <row r="164" ht="15.75" customHeight="1">
      <c r="E164" s="20"/>
    </row>
    <row r="165" ht="15.75" customHeight="1">
      <c r="E165" s="20"/>
    </row>
    <row r="166" ht="15.75" customHeight="1">
      <c r="E166" s="20"/>
    </row>
    <row r="167" ht="15.75" customHeight="1">
      <c r="E167" s="20"/>
    </row>
    <row r="168" ht="15.75" customHeight="1">
      <c r="E168" s="20"/>
    </row>
    <row r="169" ht="15.75" customHeight="1">
      <c r="E169" s="20"/>
    </row>
    <row r="170" ht="15.75" customHeight="1">
      <c r="E170" s="20"/>
    </row>
    <row r="171" ht="15.75" customHeight="1">
      <c r="E171" s="20"/>
    </row>
    <row r="172" ht="15.75" customHeight="1">
      <c r="E172" s="20"/>
    </row>
    <row r="173" ht="15.75" customHeight="1">
      <c r="E173" s="20"/>
    </row>
    <row r="174" ht="15.75" customHeight="1">
      <c r="E174" s="20"/>
    </row>
    <row r="175" ht="15.75" customHeight="1">
      <c r="E175" s="20"/>
    </row>
    <row r="176" ht="15.75" customHeight="1">
      <c r="E176" s="20"/>
    </row>
    <row r="177" ht="15.75" customHeight="1">
      <c r="E177" s="20"/>
    </row>
    <row r="178" ht="15.75" customHeight="1">
      <c r="E178" s="20"/>
    </row>
    <row r="179" ht="15.75" customHeight="1">
      <c r="E179" s="20"/>
    </row>
    <row r="180" ht="15.75" customHeight="1">
      <c r="E180" s="20"/>
    </row>
    <row r="181" ht="15.75" customHeight="1">
      <c r="E181" s="20"/>
    </row>
    <row r="182" ht="15.75" customHeight="1">
      <c r="E182" s="20"/>
    </row>
    <row r="183" ht="15.75" customHeight="1">
      <c r="E183" s="20"/>
    </row>
    <row r="184" ht="15.75" customHeight="1">
      <c r="E184" s="20"/>
    </row>
    <row r="185" ht="15.75" customHeight="1">
      <c r="E185" s="20"/>
    </row>
    <row r="186" ht="15.75" customHeight="1">
      <c r="E186" s="20"/>
    </row>
    <row r="187" ht="15.75" customHeight="1">
      <c r="E187" s="20"/>
    </row>
    <row r="188" ht="15.75" customHeight="1">
      <c r="E188" s="20"/>
    </row>
    <row r="189" ht="15.75" customHeight="1">
      <c r="E189" s="20"/>
    </row>
    <row r="190" ht="15.75" customHeight="1">
      <c r="E190" s="20"/>
    </row>
    <row r="191" ht="15.75" customHeight="1">
      <c r="E191" s="20"/>
    </row>
    <row r="192" ht="15.75" customHeight="1">
      <c r="E192" s="20"/>
    </row>
    <row r="193" ht="15.75" customHeight="1">
      <c r="E193" s="20"/>
    </row>
    <row r="194" ht="15.75" customHeight="1">
      <c r="E194" s="20"/>
    </row>
    <row r="195" ht="15.75" customHeight="1">
      <c r="E195" s="20"/>
    </row>
    <row r="196" ht="15.75" customHeight="1">
      <c r="E196" s="20"/>
    </row>
    <row r="197" ht="15.75" customHeight="1">
      <c r="E197" s="20"/>
    </row>
    <row r="198" ht="15.75" customHeight="1">
      <c r="E198" s="20"/>
    </row>
    <row r="199" ht="15.75" customHeight="1">
      <c r="E199" s="20"/>
    </row>
    <row r="200" ht="15.75" customHeight="1">
      <c r="E200" s="20"/>
    </row>
    <row r="201" ht="15.75" customHeight="1">
      <c r="E201" s="20"/>
    </row>
    <row r="202" ht="15.75" customHeight="1">
      <c r="E202" s="20"/>
    </row>
    <row r="203" ht="15.75" customHeight="1">
      <c r="E203" s="20"/>
    </row>
    <row r="204" ht="15.75" customHeight="1">
      <c r="E204" s="20"/>
    </row>
    <row r="205" ht="15.75" customHeight="1">
      <c r="E205" s="20"/>
    </row>
    <row r="206" ht="15.75" customHeight="1">
      <c r="E206" s="20"/>
    </row>
    <row r="207" ht="15.75" customHeight="1">
      <c r="E207" s="20"/>
    </row>
    <row r="208" ht="15.75" customHeight="1">
      <c r="E208" s="20"/>
    </row>
    <row r="209" ht="15.75" customHeight="1">
      <c r="E209" s="20"/>
    </row>
    <row r="210" ht="15.75" customHeight="1">
      <c r="E210" s="20"/>
    </row>
    <row r="211" ht="15.75" customHeight="1">
      <c r="E211" s="20"/>
    </row>
    <row r="212" ht="15.75" customHeight="1">
      <c r="E212" s="20"/>
    </row>
    <row r="213" ht="15.75" customHeight="1">
      <c r="E213" s="20"/>
    </row>
    <row r="214" ht="15.75" customHeight="1">
      <c r="E214" s="20"/>
    </row>
    <row r="215" ht="15.75" customHeight="1">
      <c r="E215" s="20"/>
    </row>
    <row r="216" ht="15.75" customHeight="1">
      <c r="E216" s="20"/>
    </row>
    <row r="217" ht="15.75" customHeight="1">
      <c r="E217" s="20"/>
    </row>
    <row r="218" ht="15.75" customHeight="1">
      <c r="E218" s="20"/>
    </row>
    <row r="219" ht="15.75" customHeight="1">
      <c r="E219" s="20"/>
    </row>
    <row r="220" ht="15.75" customHeight="1">
      <c r="E220" s="20"/>
    </row>
    <row r="221" ht="15.75" customHeight="1">
      <c r="E221" s="20"/>
    </row>
    <row r="222" ht="15.75" customHeight="1">
      <c r="E222" s="20"/>
    </row>
    <row r="223" ht="15.75" customHeight="1">
      <c r="E223" s="20"/>
    </row>
    <row r="224" ht="15.75" customHeight="1">
      <c r="E224" s="20"/>
    </row>
    <row r="225" ht="15.75" customHeight="1">
      <c r="E225" s="20"/>
    </row>
    <row r="226" ht="15.75" customHeight="1">
      <c r="E226" s="20"/>
    </row>
    <row r="227" ht="15.75" customHeight="1">
      <c r="E227" s="20"/>
    </row>
    <row r="228" ht="15.75" customHeight="1">
      <c r="E228" s="20"/>
    </row>
    <row r="229" ht="15.75" customHeight="1">
      <c r="E229" s="20"/>
    </row>
    <row r="230" ht="15.75" customHeight="1">
      <c r="E230" s="20"/>
    </row>
    <row r="231" ht="15.75" customHeight="1">
      <c r="E231" s="20"/>
    </row>
    <row r="232" ht="15.75" customHeight="1">
      <c r="E232" s="20"/>
    </row>
    <row r="233" ht="15.75" customHeight="1">
      <c r="E233" s="20"/>
    </row>
    <row r="234" ht="15.75" customHeight="1">
      <c r="E234" s="20"/>
    </row>
    <row r="235" ht="15.75" customHeight="1">
      <c r="E235" s="20"/>
    </row>
    <row r="236" ht="15.75" customHeight="1">
      <c r="E236" s="20"/>
    </row>
    <row r="237" ht="15.75" customHeight="1">
      <c r="E237" s="20"/>
    </row>
    <row r="238" ht="15.75" customHeight="1">
      <c r="E238" s="20"/>
    </row>
    <row r="239" ht="15.75" customHeight="1">
      <c r="E239" s="20"/>
    </row>
    <row r="240" ht="15.75" customHeight="1">
      <c r="E240" s="20"/>
    </row>
    <row r="241" ht="15.75" customHeight="1">
      <c r="E241" s="20"/>
    </row>
    <row r="242" ht="15.75" customHeight="1">
      <c r="E242" s="20"/>
    </row>
    <row r="243" ht="15.75" customHeight="1">
      <c r="E243" s="20"/>
    </row>
    <row r="244" ht="15.75" customHeight="1">
      <c r="E244" s="20"/>
    </row>
    <row r="245" ht="15.75" customHeight="1">
      <c r="E245" s="20"/>
    </row>
    <row r="246" ht="15.75" customHeight="1">
      <c r="E246" s="20"/>
    </row>
    <row r="247" ht="15.75" customHeight="1">
      <c r="E247" s="20"/>
    </row>
    <row r="248" ht="15.75" customHeight="1">
      <c r="E248" s="20"/>
    </row>
    <row r="249" ht="15.75" customHeight="1">
      <c r="E249" s="20"/>
    </row>
    <row r="250" ht="15.75" customHeight="1">
      <c r="E250" s="20"/>
    </row>
    <row r="251" ht="15.75" customHeight="1">
      <c r="E251" s="20"/>
    </row>
    <row r="252" ht="15.75" customHeight="1">
      <c r="E252" s="20"/>
    </row>
    <row r="253" ht="15.75" customHeight="1">
      <c r="E253" s="20"/>
    </row>
    <row r="254" ht="15.75" customHeight="1">
      <c r="E254" s="20"/>
    </row>
    <row r="255" ht="15.75" customHeight="1">
      <c r="E255" s="20"/>
    </row>
    <row r="256" ht="15.75" customHeight="1">
      <c r="E256" s="20"/>
    </row>
    <row r="257" ht="15.75" customHeight="1">
      <c r="E257" s="20"/>
    </row>
    <row r="258" ht="15.75" customHeight="1">
      <c r="E258" s="20"/>
    </row>
    <row r="259" ht="15.75" customHeight="1">
      <c r="E259" s="20"/>
    </row>
    <row r="260" ht="15.75" customHeight="1">
      <c r="E260" s="20"/>
    </row>
    <row r="261" ht="15.75" customHeight="1">
      <c r="E261" s="20"/>
    </row>
    <row r="262" ht="15.75" customHeight="1">
      <c r="E262" s="20"/>
    </row>
    <row r="263" ht="15.75" customHeight="1">
      <c r="E263" s="20"/>
    </row>
    <row r="264" ht="15.75" customHeight="1">
      <c r="E264" s="20"/>
    </row>
    <row r="265" ht="15.75" customHeight="1">
      <c r="E265" s="20"/>
    </row>
    <row r="266" ht="15.75" customHeight="1">
      <c r="E266" s="20"/>
    </row>
    <row r="267" ht="15.75" customHeight="1">
      <c r="E267" s="20"/>
    </row>
    <row r="268" ht="15.75" customHeight="1">
      <c r="E268" s="20"/>
    </row>
    <row r="269" ht="15.75" customHeight="1">
      <c r="E269" s="20"/>
    </row>
    <row r="270" ht="15.75" customHeight="1">
      <c r="E270" s="20"/>
    </row>
    <row r="271" ht="15.75" customHeight="1">
      <c r="E271" s="20"/>
    </row>
    <row r="272" ht="15.75" customHeight="1">
      <c r="E272" s="20"/>
    </row>
    <row r="273" ht="15.75" customHeight="1">
      <c r="E273" s="20"/>
    </row>
    <row r="274" ht="15.75" customHeight="1">
      <c r="E274" s="20"/>
    </row>
    <row r="275" ht="15.75" customHeight="1">
      <c r="E275" s="20"/>
    </row>
    <row r="276" ht="15.75" customHeight="1">
      <c r="E276" s="20"/>
    </row>
    <row r="277" ht="15.75" customHeight="1">
      <c r="E277" s="20"/>
    </row>
    <row r="278" ht="15.75" customHeight="1">
      <c r="E278" s="20"/>
    </row>
    <row r="279" ht="15.75" customHeight="1">
      <c r="E279" s="20"/>
    </row>
    <row r="280" ht="15.75" customHeight="1">
      <c r="E280" s="20"/>
    </row>
    <row r="281" ht="15.75" customHeight="1">
      <c r="E281" s="20"/>
    </row>
    <row r="282" ht="15.75" customHeight="1">
      <c r="E282" s="20"/>
    </row>
    <row r="283" ht="15.75" customHeight="1">
      <c r="E283" s="20"/>
    </row>
    <row r="284" ht="15.75" customHeight="1">
      <c r="E284" s="20"/>
    </row>
    <row r="285" ht="15.75" customHeight="1">
      <c r="E285" s="20"/>
    </row>
    <row r="286" ht="15.75" customHeight="1">
      <c r="E286" s="20"/>
    </row>
    <row r="287" ht="15.75" customHeight="1">
      <c r="E287" s="20"/>
    </row>
    <row r="288" ht="15.75" customHeight="1">
      <c r="E288" s="20"/>
    </row>
    <row r="289" ht="15.75" customHeight="1">
      <c r="E289" s="20"/>
    </row>
    <row r="290" ht="15.75" customHeight="1">
      <c r="E290" s="20"/>
    </row>
    <row r="291" ht="15.75" customHeight="1">
      <c r="E291" s="20"/>
    </row>
    <row r="292" ht="15.75" customHeight="1">
      <c r="E292" s="20"/>
    </row>
    <row r="293" ht="15.75" customHeight="1">
      <c r="E293" s="20"/>
    </row>
    <row r="294" ht="15.75" customHeight="1">
      <c r="E294" s="20"/>
    </row>
    <row r="295" ht="15.75" customHeight="1">
      <c r="E295" s="20"/>
    </row>
    <row r="296" ht="15.75" customHeight="1">
      <c r="E296" s="20"/>
    </row>
    <row r="297" ht="15.75" customHeight="1">
      <c r="E297" s="20"/>
    </row>
    <row r="298" ht="15.75" customHeight="1">
      <c r="E298" s="20"/>
    </row>
    <row r="299" ht="15.75" customHeight="1">
      <c r="E299" s="20"/>
    </row>
    <row r="300" ht="15.75" customHeight="1">
      <c r="E300" s="20"/>
    </row>
    <row r="301" ht="15.75" customHeight="1">
      <c r="E301" s="20"/>
    </row>
    <row r="302" ht="15.75" customHeight="1">
      <c r="E302" s="20"/>
    </row>
    <row r="303" ht="15.75" customHeight="1">
      <c r="E303" s="20"/>
    </row>
    <row r="304" ht="15.75" customHeight="1">
      <c r="E304" s="20"/>
    </row>
    <row r="305" ht="15.75" customHeight="1">
      <c r="E305" s="20"/>
    </row>
    <row r="306" ht="15.75" customHeight="1">
      <c r="E306" s="20"/>
    </row>
    <row r="307" ht="15.75" customHeight="1">
      <c r="E307" s="20"/>
    </row>
    <row r="308" ht="15.75" customHeight="1">
      <c r="E308" s="20"/>
    </row>
    <row r="309" ht="15.75" customHeight="1">
      <c r="E309" s="20"/>
    </row>
    <row r="310" ht="15.75" customHeight="1">
      <c r="E310" s="20"/>
    </row>
    <row r="311" ht="15.75" customHeight="1">
      <c r="E311" s="20"/>
    </row>
    <row r="312" ht="15.75" customHeight="1">
      <c r="E312" s="20"/>
    </row>
    <row r="313" ht="15.75" customHeight="1">
      <c r="E313" s="20"/>
    </row>
    <row r="314" ht="15.75" customHeight="1">
      <c r="E314" s="20"/>
    </row>
    <row r="315" ht="15.75" customHeight="1">
      <c r="E315" s="20"/>
    </row>
    <row r="316" ht="15.75" customHeight="1">
      <c r="E316" s="20"/>
    </row>
    <row r="317" ht="15.75" customHeight="1">
      <c r="E317" s="20"/>
    </row>
    <row r="318" ht="15.75" customHeight="1">
      <c r="E318" s="20"/>
    </row>
    <row r="319" ht="15.75" customHeight="1">
      <c r="E319" s="20"/>
    </row>
    <row r="320" ht="15.75" customHeight="1">
      <c r="E320" s="20"/>
    </row>
    <row r="321" ht="15.75" customHeight="1">
      <c r="E321" s="20"/>
    </row>
    <row r="322" ht="15.75" customHeight="1">
      <c r="E322" s="20"/>
    </row>
    <row r="323" ht="15.75" customHeight="1">
      <c r="E323" s="20"/>
    </row>
    <row r="324" ht="15.75" customHeight="1">
      <c r="E324" s="20"/>
    </row>
    <row r="325" ht="15.75" customHeight="1">
      <c r="E325" s="20"/>
    </row>
    <row r="326" ht="15.75" customHeight="1">
      <c r="E326" s="20"/>
    </row>
    <row r="327" ht="15.75" customHeight="1">
      <c r="E327" s="20"/>
    </row>
    <row r="328" ht="15.75" customHeight="1">
      <c r="E328" s="20"/>
    </row>
    <row r="329" ht="15.75" customHeight="1">
      <c r="E329" s="20"/>
    </row>
    <row r="330" ht="15.75" customHeight="1">
      <c r="E330" s="20"/>
    </row>
    <row r="331" ht="15.75" customHeight="1">
      <c r="E331" s="20"/>
    </row>
    <row r="332" ht="15.75" customHeight="1">
      <c r="E332" s="20"/>
    </row>
    <row r="333" ht="15.75" customHeight="1">
      <c r="E333" s="20"/>
    </row>
    <row r="334" ht="15.75" customHeight="1">
      <c r="E334" s="20"/>
    </row>
    <row r="335" ht="15.75" customHeight="1">
      <c r="E335" s="20"/>
    </row>
    <row r="336" ht="15.75" customHeight="1">
      <c r="E336" s="20"/>
    </row>
    <row r="337" ht="15.75" customHeight="1">
      <c r="E337" s="20"/>
    </row>
    <row r="338" ht="15.75" customHeight="1">
      <c r="E338" s="20"/>
    </row>
    <row r="339" ht="15.75" customHeight="1">
      <c r="E339" s="20"/>
    </row>
    <row r="340" ht="15.75" customHeight="1">
      <c r="E340" s="20"/>
    </row>
    <row r="341" ht="15.75" customHeight="1">
      <c r="E341" s="20"/>
    </row>
    <row r="342" ht="15.75" customHeight="1">
      <c r="E342" s="20"/>
    </row>
    <row r="343" ht="15.75" customHeight="1">
      <c r="E343" s="20"/>
    </row>
    <row r="344" ht="15.75" customHeight="1">
      <c r="E344" s="20"/>
    </row>
    <row r="345" ht="15.75" customHeight="1">
      <c r="E345" s="20"/>
    </row>
    <row r="346" ht="15.75" customHeight="1">
      <c r="E346" s="20"/>
    </row>
    <row r="347" ht="15.75" customHeight="1">
      <c r="E347" s="20"/>
    </row>
    <row r="348" ht="15.75" customHeight="1">
      <c r="E348" s="20"/>
    </row>
    <row r="349" ht="15.75" customHeight="1">
      <c r="E349" s="20"/>
    </row>
    <row r="350" ht="15.75" customHeight="1">
      <c r="E350" s="20"/>
    </row>
    <row r="351" ht="15.75" customHeight="1">
      <c r="E351" s="20"/>
    </row>
    <row r="352" ht="15.75" customHeight="1">
      <c r="E352" s="20"/>
    </row>
    <row r="353" ht="15.75" customHeight="1">
      <c r="E353" s="20"/>
    </row>
    <row r="354" ht="15.75" customHeight="1">
      <c r="E354" s="20"/>
    </row>
    <row r="355" ht="15.75" customHeight="1">
      <c r="E355" s="20"/>
    </row>
    <row r="356" ht="15.75" customHeight="1">
      <c r="E356" s="20"/>
    </row>
    <row r="357" ht="15.75" customHeight="1">
      <c r="E357" s="20"/>
    </row>
    <row r="358" ht="15.75" customHeight="1">
      <c r="E358" s="20"/>
    </row>
    <row r="359" ht="15.75" customHeight="1">
      <c r="E359" s="20"/>
    </row>
    <row r="360" ht="15.75" customHeight="1">
      <c r="E360" s="20"/>
    </row>
    <row r="361" ht="15.75" customHeight="1">
      <c r="E361" s="20"/>
    </row>
    <row r="362" ht="15.75" customHeight="1">
      <c r="E362" s="20"/>
    </row>
    <row r="363" ht="15.75" customHeight="1">
      <c r="E363" s="20"/>
    </row>
    <row r="364" ht="15.75" customHeight="1">
      <c r="E364" s="20"/>
    </row>
    <row r="365" ht="15.75" customHeight="1">
      <c r="E365" s="20"/>
    </row>
    <row r="366" ht="15.75" customHeight="1">
      <c r="E366" s="20"/>
    </row>
    <row r="367" ht="15.75" customHeight="1">
      <c r="E367" s="20"/>
    </row>
    <row r="368" ht="15.75" customHeight="1">
      <c r="E368" s="20"/>
    </row>
    <row r="369" ht="15.75" customHeight="1">
      <c r="E369" s="20"/>
    </row>
    <row r="370" ht="15.75" customHeight="1">
      <c r="E370" s="20"/>
    </row>
    <row r="371" ht="15.75" customHeight="1">
      <c r="E371" s="20"/>
    </row>
    <row r="372" ht="15.75" customHeight="1">
      <c r="E372" s="20"/>
    </row>
    <row r="373" ht="15.75" customHeight="1">
      <c r="E373" s="20"/>
    </row>
    <row r="374" ht="15.75" customHeight="1">
      <c r="E374" s="20"/>
    </row>
    <row r="375" ht="15.75" customHeight="1">
      <c r="E375" s="20"/>
    </row>
    <row r="376" ht="15.75" customHeight="1">
      <c r="E376" s="20"/>
    </row>
    <row r="377" ht="15.75" customHeight="1">
      <c r="E377" s="20"/>
    </row>
    <row r="378" ht="15.75" customHeight="1">
      <c r="E378" s="20"/>
    </row>
    <row r="379" ht="15.75" customHeight="1">
      <c r="E379" s="20"/>
    </row>
    <row r="380" ht="15.75" customHeight="1">
      <c r="E380" s="20"/>
    </row>
    <row r="381" ht="15.75" customHeight="1">
      <c r="E381" s="20"/>
    </row>
    <row r="382" ht="15.75" customHeight="1">
      <c r="E382" s="20"/>
    </row>
    <row r="383" ht="15.75" customHeight="1">
      <c r="E383" s="20"/>
    </row>
    <row r="384" ht="15.75" customHeight="1">
      <c r="E384" s="20"/>
    </row>
    <row r="385" ht="15.75" customHeight="1">
      <c r="E385" s="20"/>
    </row>
    <row r="386" ht="15.75" customHeight="1">
      <c r="E386" s="20"/>
    </row>
    <row r="387" ht="15.75" customHeight="1">
      <c r="E387" s="20"/>
    </row>
    <row r="388" ht="15.75" customHeight="1">
      <c r="E388" s="20"/>
    </row>
    <row r="389" ht="15.75" customHeight="1">
      <c r="E389" s="20"/>
    </row>
    <row r="390" ht="15.75" customHeight="1">
      <c r="E390" s="20"/>
    </row>
    <row r="391" ht="15.75" customHeight="1">
      <c r="E391" s="20"/>
    </row>
    <row r="392" ht="15.75" customHeight="1">
      <c r="E392" s="20"/>
    </row>
    <row r="393" ht="15.75" customHeight="1">
      <c r="E393" s="20"/>
    </row>
    <row r="394" ht="15.75" customHeight="1">
      <c r="E394" s="20"/>
    </row>
    <row r="395" ht="15.75" customHeight="1">
      <c r="E395" s="20"/>
    </row>
    <row r="396" ht="15.75" customHeight="1">
      <c r="E396" s="20"/>
    </row>
    <row r="397" ht="15.75" customHeight="1">
      <c r="E397" s="20"/>
    </row>
    <row r="398" ht="15.75" customHeight="1">
      <c r="E398" s="20"/>
    </row>
    <row r="399" ht="15.75" customHeight="1">
      <c r="E399" s="20"/>
    </row>
    <row r="400" ht="15.75" customHeight="1">
      <c r="E400" s="20"/>
    </row>
    <row r="401" ht="15.75" customHeight="1">
      <c r="E401" s="20"/>
    </row>
    <row r="402" ht="15.75" customHeight="1">
      <c r="E402" s="20"/>
    </row>
    <row r="403" ht="15.75" customHeight="1">
      <c r="E403" s="20"/>
    </row>
    <row r="404" ht="15.75" customHeight="1">
      <c r="E404" s="20"/>
    </row>
    <row r="405" ht="15.75" customHeight="1">
      <c r="E405" s="20"/>
    </row>
    <row r="406" ht="15.75" customHeight="1">
      <c r="E406" s="20"/>
    </row>
    <row r="407" ht="15.75" customHeight="1">
      <c r="E407" s="20"/>
    </row>
    <row r="408" ht="15.75" customHeight="1">
      <c r="E408" s="20"/>
    </row>
    <row r="409" ht="15.75" customHeight="1">
      <c r="E409" s="20"/>
    </row>
    <row r="410" ht="15.75" customHeight="1">
      <c r="E410" s="20"/>
    </row>
    <row r="411" ht="15.75" customHeight="1">
      <c r="E411" s="20"/>
    </row>
    <row r="412" ht="15.75" customHeight="1">
      <c r="E412" s="20"/>
    </row>
    <row r="413" ht="15.75" customHeight="1">
      <c r="E413" s="20"/>
    </row>
    <row r="414" ht="15.75" customHeight="1">
      <c r="E414" s="20"/>
    </row>
    <row r="415" ht="15.75" customHeight="1">
      <c r="E415" s="20"/>
    </row>
    <row r="416" ht="15.75" customHeight="1">
      <c r="E416" s="20"/>
    </row>
    <row r="417" ht="15.75" customHeight="1">
      <c r="E417" s="20"/>
    </row>
    <row r="418" ht="15.75" customHeight="1">
      <c r="E418" s="20"/>
    </row>
    <row r="419" ht="15.75" customHeight="1">
      <c r="E419" s="20"/>
    </row>
    <row r="420" ht="15.75" customHeight="1">
      <c r="E420" s="20"/>
    </row>
    <row r="421" ht="15.75" customHeight="1">
      <c r="E421" s="20"/>
    </row>
    <row r="422" ht="15.75" customHeight="1">
      <c r="E422" s="20"/>
    </row>
    <row r="423" ht="15.75" customHeight="1">
      <c r="E423" s="20"/>
    </row>
    <row r="424" ht="15.75" customHeight="1">
      <c r="E424" s="20"/>
    </row>
    <row r="425" ht="15.75" customHeight="1">
      <c r="E425" s="20"/>
    </row>
    <row r="426" ht="15.75" customHeight="1">
      <c r="E426" s="20"/>
    </row>
    <row r="427" ht="15.75" customHeight="1">
      <c r="E427" s="20"/>
    </row>
    <row r="428" ht="15.75" customHeight="1">
      <c r="E428" s="20"/>
    </row>
    <row r="429" ht="15.75" customHeight="1">
      <c r="E429" s="20"/>
    </row>
    <row r="430" ht="15.75" customHeight="1">
      <c r="E430" s="20"/>
    </row>
    <row r="431" ht="15.75" customHeight="1">
      <c r="E431" s="20"/>
    </row>
    <row r="432" ht="15.75" customHeight="1">
      <c r="E432" s="20"/>
    </row>
    <row r="433" ht="15.75" customHeight="1">
      <c r="E433" s="20"/>
    </row>
    <row r="434" ht="15.75" customHeight="1">
      <c r="E434" s="20"/>
    </row>
    <row r="435" ht="15.75" customHeight="1">
      <c r="E435" s="20"/>
    </row>
    <row r="436" ht="15.75" customHeight="1">
      <c r="E436" s="20"/>
    </row>
    <row r="437" ht="15.75" customHeight="1">
      <c r="E437" s="20"/>
    </row>
    <row r="438" ht="15.75" customHeight="1">
      <c r="E438" s="20"/>
    </row>
    <row r="439" ht="15.75" customHeight="1">
      <c r="E439" s="20"/>
    </row>
    <row r="440" ht="15.75" customHeight="1">
      <c r="E440" s="20"/>
    </row>
    <row r="441" ht="15.75" customHeight="1">
      <c r="E441" s="20"/>
    </row>
    <row r="442" ht="15.75" customHeight="1">
      <c r="E442" s="20"/>
    </row>
    <row r="443" ht="15.75" customHeight="1">
      <c r="E443" s="20"/>
    </row>
    <row r="444" ht="15.75" customHeight="1">
      <c r="E444" s="20"/>
    </row>
    <row r="445" ht="15.75" customHeight="1">
      <c r="E445" s="20"/>
    </row>
    <row r="446" ht="15.75" customHeight="1">
      <c r="E446" s="20"/>
    </row>
    <row r="447" ht="15.75" customHeight="1">
      <c r="E447" s="20"/>
    </row>
    <row r="448" ht="15.75" customHeight="1">
      <c r="E448" s="20"/>
    </row>
    <row r="449" ht="15.75" customHeight="1">
      <c r="E449" s="20"/>
    </row>
    <row r="450" ht="15.75" customHeight="1">
      <c r="E450" s="20"/>
    </row>
    <row r="451" ht="15.75" customHeight="1">
      <c r="E451" s="20"/>
    </row>
    <row r="452" ht="15.75" customHeight="1">
      <c r="E452" s="20"/>
    </row>
    <row r="453" ht="15.75" customHeight="1">
      <c r="E453" s="20"/>
    </row>
    <row r="454" ht="15.75" customHeight="1">
      <c r="E454" s="20"/>
    </row>
    <row r="455" ht="15.75" customHeight="1">
      <c r="E455" s="20"/>
    </row>
    <row r="456" ht="15.75" customHeight="1">
      <c r="E456" s="20"/>
    </row>
    <row r="457" ht="15.75" customHeight="1">
      <c r="E457" s="20"/>
    </row>
    <row r="458" ht="15.75" customHeight="1">
      <c r="E458" s="20"/>
    </row>
    <row r="459" ht="15.75" customHeight="1">
      <c r="E459" s="20"/>
    </row>
    <row r="460" ht="15.75" customHeight="1">
      <c r="E460" s="20"/>
    </row>
    <row r="461" ht="15.75" customHeight="1">
      <c r="E461" s="20"/>
    </row>
    <row r="462" ht="15.75" customHeight="1">
      <c r="E462" s="20"/>
    </row>
    <row r="463" ht="15.75" customHeight="1">
      <c r="E463" s="20"/>
    </row>
    <row r="464" ht="15.75" customHeight="1">
      <c r="E464" s="20"/>
    </row>
    <row r="465" ht="15.75" customHeight="1">
      <c r="E465" s="20"/>
    </row>
    <row r="466" ht="15.75" customHeight="1">
      <c r="E466" s="20"/>
    </row>
    <row r="467" ht="15.75" customHeight="1">
      <c r="E467" s="20"/>
    </row>
    <row r="468" ht="15.75" customHeight="1">
      <c r="E468" s="20"/>
    </row>
    <row r="469" ht="15.75" customHeight="1">
      <c r="E469" s="20"/>
    </row>
    <row r="470" ht="15.75" customHeight="1">
      <c r="E470" s="20"/>
    </row>
    <row r="471" ht="15.75" customHeight="1">
      <c r="E471" s="20"/>
    </row>
    <row r="472" ht="15.75" customHeight="1">
      <c r="E472" s="20"/>
    </row>
    <row r="473" ht="15.75" customHeight="1">
      <c r="E473" s="20"/>
    </row>
    <row r="474" ht="15.75" customHeight="1">
      <c r="E474" s="20"/>
    </row>
    <row r="475" ht="15.75" customHeight="1">
      <c r="E475" s="20"/>
    </row>
    <row r="476" ht="15.75" customHeight="1">
      <c r="E476" s="20"/>
    </row>
    <row r="477" ht="15.75" customHeight="1">
      <c r="E477" s="20"/>
    </row>
    <row r="478" ht="15.75" customHeight="1">
      <c r="E478" s="20"/>
    </row>
    <row r="479" ht="15.75" customHeight="1">
      <c r="E479" s="20"/>
    </row>
    <row r="480" ht="15.75" customHeight="1">
      <c r="E480" s="20"/>
    </row>
    <row r="481" ht="15.75" customHeight="1">
      <c r="E481" s="20"/>
    </row>
    <row r="482" ht="15.75" customHeight="1">
      <c r="E482" s="20"/>
    </row>
    <row r="483" ht="15.75" customHeight="1">
      <c r="E483" s="20"/>
    </row>
    <row r="484" ht="15.75" customHeight="1">
      <c r="E484" s="20"/>
    </row>
    <row r="485" ht="15.75" customHeight="1">
      <c r="E485" s="20"/>
    </row>
    <row r="486" ht="15.75" customHeight="1">
      <c r="E486" s="20"/>
    </row>
    <row r="487" ht="15.75" customHeight="1">
      <c r="E487" s="20"/>
    </row>
    <row r="488" ht="15.75" customHeight="1">
      <c r="E488" s="20"/>
    </row>
    <row r="489" ht="15.75" customHeight="1">
      <c r="E489" s="20"/>
    </row>
    <row r="490" ht="15.75" customHeight="1">
      <c r="E490" s="20"/>
    </row>
    <row r="491" ht="15.75" customHeight="1">
      <c r="E491" s="20"/>
    </row>
    <row r="492" ht="15.75" customHeight="1">
      <c r="E492" s="20"/>
    </row>
    <row r="493" ht="15.75" customHeight="1">
      <c r="E493" s="20"/>
    </row>
    <row r="494" ht="15.75" customHeight="1">
      <c r="E494" s="20"/>
    </row>
    <row r="495" ht="15.75" customHeight="1">
      <c r="E495" s="20"/>
    </row>
    <row r="496" ht="15.75" customHeight="1">
      <c r="E496" s="20"/>
    </row>
    <row r="497" ht="15.75" customHeight="1">
      <c r="E497" s="20"/>
    </row>
    <row r="498" ht="15.75" customHeight="1">
      <c r="E498" s="20"/>
    </row>
    <row r="499" ht="15.75" customHeight="1">
      <c r="E499" s="20"/>
    </row>
    <row r="500" ht="15.75" customHeight="1">
      <c r="E500" s="20"/>
    </row>
    <row r="501" ht="15.75" customHeight="1">
      <c r="E501" s="20"/>
    </row>
    <row r="502" ht="15.75" customHeight="1">
      <c r="E502" s="20"/>
    </row>
    <row r="503" ht="15.75" customHeight="1">
      <c r="E503" s="20"/>
    </row>
    <row r="504" ht="15.75" customHeight="1">
      <c r="E504" s="20"/>
    </row>
    <row r="505" ht="15.75" customHeight="1">
      <c r="E505" s="20"/>
    </row>
    <row r="506" ht="15.75" customHeight="1">
      <c r="E506" s="20"/>
    </row>
    <row r="507" ht="15.75" customHeight="1">
      <c r="E507" s="20"/>
    </row>
    <row r="508" ht="15.75" customHeight="1">
      <c r="E508" s="20"/>
    </row>
    <row r="509" ht="15.75" customHeight="1">
      <c r="E509" s="20"/>
    </row>
    <row r="510" ht="15.75" customHeight="1">
      <c r="E510" s="20"/>
    </row>
    <row r="511" ht="15.75" customHeight="1">
      <c r="E511" s="20"/>
    </row>
    <row r="512" ht="15.75" customHeight="1">
      <c r="E512" s="20"/>
    </row>
    <row r="513" ht="15.75" customHeight="1">
      <c r="E513" s="20"/>
    </row>
    <row r="514" ht="15.75" customHeight="1">
      <c r="E514" s="20"/>
    </row>
    <row r="515" ht="15.75" customHeight="1">
      <c r="E515" s="20"/>
    </row>
    <row r="516" ht="15.75" customHeight="1">
      <c r="E516" s="20"/>
    </row>
    <row r="517" ht="15.75" customHeight="1">
      <c r="E517" s="20"/>
    </row>
    <row r="518" ht="15.75" customHeight="1">
      <c r="E518" s="20"/>
    </row>
    <row r="519" ht="15.75" customHeight="1">
      <c r="E519" s="20"/>
    </row>
    <row r="520" ht="15.75" customHeight="1">
      <c r="E520" s="20"/>
    </row>
    <row r="521" ht="15.75" customHeight="1">
      <c r="E521" s="20"/>
    </row>
    <row r="522" ht="15.75" customHeight="1">
      <c r="E522" s="20"/>
    </row>
    <row r="523" ht="15.75" customHeight="1">
      <c r="E523" s="20"/>
    </row>
    <row r="524" ht="15.75" customHeight="1">
      <c r="E524" s="20"/>
    </row>
    <row r="525" ht="15.75" customHeight="1">
      <c r="E525" s="20"/>
    </row>
    <row r="526" ht="15.75" customHeight="1">
      <c r="E526" s="20"/>
    </row>
    <row r="527" ht="15.75" customHeight="1">
      <c r="E527" s="20"/>
    </row>
    <row r="528" ht="15.75" customHeight="1">
      <c r="E528" s="20"/>
    </row>
    <row r="529" ht="15.75" customHeight="1">
      <c r="E529" s="20"/>
    </row>
    <row r="530" ht="15.75" customHeight="1">
      <c r="E530" s="20"/>
    </row>
    <row r="531" ht="15.75" customHeight="1">
      <c r="E531" s="20"/>
    </row>
    <row r="532" ht="15.75" customHeight="1">
      <c r="E532" s="20"/>
    </row>
    <row r="533" ht="15.75" customHeight="1">
      <c r="E533" s="20"/>
    </row>
    <row r="534" ht="15.75" customHeight="1">
      <c r="E534" s="20"/>
    </row>
    <row r="535" ht="15.75" customHeight="1">
      <c r="E535" s="20"/>
    </row>
    <row r="536" ht="15.75" customHeight="1">
      <c r="E536" s="20"/>
    </row>
    <row r="537" ht="15.75" customHeight="1">
      <c r="E537" s="20"/>
    </row>
    <row r="538" ht="15.75" customHeight="1">
      <c r="E538" s="20"/>
    </row>
    <row r="539" ht="15.75" customHeight="1">
      <c r="E539" s="20"/>
    </row>
    <row r="540" ht="15.75" customHeight="1">
      <c r="E540" s="20"/>
    </row>
    <row r="541" ht="15.75" customHeight="1">
      <c r="E541" s="20"/>
    </row>
    <row r="542" ht="15.75" customHeight="1">
      <c r="E542" s="20"/>
    </row>
    <row r="543" ht="15.75" customHeight="1">
      <c r="E543" s="20"/>
    </row>
    <row r="544" ht="15.75" customHeight="1">
      <c r="E544" s="20"/>
    </row>
    <row r="545" ht="15.75" customHeight="1">
      <c r="E545" s="20"/>
    </row>
    <row r="546" ht="15.75" customHeight="1">
      <c r="E546" s="20"/>
    </row>
    <row r="547" ht="15.75" customHeight="1">
      <c r="E547" s="20"/>
    </row>
    <row r="548" ht="15.75" customHeight="1">
      <c r="E548" s="20"/>
    </row>
    <row r="549" ht="15.75" customHeight="1">
      <c r="E549" s="20"/>
    </row>
    <row r="550" ht="15.75" customHeight="1">
      <c r="E550" s="20"/>
    </row>
    <row r="551" ht="15.75" customHeight="1">
      <c r="E551" s="20"/>
    </row>
    <row r="552" ht="15.75" customHeight="1">
      <c r="E552" s="20"/>
    </row>
    <row r="553" ht="15.75" customHeight="1">
      <c r="E553" s="20"/>
    </row>
    <row r="554" ht="15.75" customHeight="1">
      <c r="E554" s="20"/>
    </row>
    <row r="555" ht="15.75" customHeight="1">
      <c r="E555" s="20"/>
    </row>
    <row r="556" ht="15.75" customHeight="1">
      <c r="E556" s="20"/>
    </row>
    <row r="557" ht="15.75" customHeight="1">
      <c r="E557" s="20"/>
    </row>
    <row r="558" ht="15.75" customHeight="1">
      <c r="E558" s="20"/>
    </row>
    <row r="559" ht="15.75" customHeight="1">
      <c r="E559" s="20"/>
    </row>
    <row r="560" ht="15.75" customHeight="1">
      <c r="E560" s="20"/>
    </row>
    <row r="561" ht="15.75" customHeight="1">
      <c r="E561" s="20"/>
    </row>
    <row r="562" ht="15.75" customHeight="1">
      <c r="E562" s="20"/>
    </row>
    <row r="563" ht="15.75" customHeight="1">
      <c r="E563" s="20"/>
    </row>
    <row r="564" ht="15.75" customHeight="1">
      <c r="E564" s="20"/>
    </row>
    <row r="565" ht="15.75" customHeight="1">
      <c r="E565" s="20"/>
    </row>
    <row r="566" ht="15.75" customHeight="1">
      <c r="E566" s="20"/>
    </row>
    <row r="567" ht="15.75" customHeight="1">
      <c r="E567" s="20"/>
    </row>
    <row r="568" ht="15.75" customHeight="1">
      <c r="E568" s="20"/>
    </row>
    <row r="569" ht="15.75" customHeight="1">
      <c r="E569" s="20"/>
    </row>
    <row r="570" ht="15.75" customHeight="1">
      <c r="E570" s="20"/>
    </row>
    <row r="571" ht="15.75" customHeight="1">
      <c r="E571" s="20"/>
    </row>
    <row r="572" ht="15.75" customHeight="1">
      <c r="E572" s="20"/>
    </row>
    <row r="573" ht="15.75" customHeight="1">
      <c r="E573" s="20"/>
    </row>
    <row r="574" ht="15.75" customHeight="1">
      <c r="E574" s="20"/>
    </row>
    <row r="575" ht="15.75" customHeight="1">
      <c r="E575" s="20"/>
    </row>
    <row r="576" ht="15.75" customHeight="1">
      <c r="E576" s="20"/>
    </row>
    <row r="577" ht="15.75" customHeight="1">
      <c r="E577" s="20"/>
    </row>
    <row r="578" ht="15.75" customHeight="1">
      <c r="E578" s="20"/>
    </row>
    <row r="579" ht="15.75" customHeight="1">
      <c r="E579" s="20"/>
    </row>
    <row r="580" ht="15.75" customHeight="1">
      <c r="E580" s="20"/>
    </row>
    <row r="581" ht="15.75" customHeight="1">
      <c r="E581" s="20"/>
    </row>
    <row r="582" ht="15.75" customHeight="1">
      <c r="E582" s="20"/>
    </row>
    <row r="583" ht="15.75" customHeight="1">
      <c r="E583" s="20"/>
    </row>
    <row r="584" ht="15.75" customHeight="1">
      <c r="E584" s="20"/>
    </row>
    <row r="585" ht="15.75" customHeight="1">
      <c r="E585" s="20"/>
    </row>
    <row r="586" ht="15.75" customHeight="1">
      <c r="E586" s="20"/>
    </row>
    <row r="587" ht="15.75" customHeight="1">
      <c r="E587" s="20"/>
    </row>
    <row r="588" ht="15.75" customHeight="1">
      <c r="E588" s="20"/>
    </row>
    <row r="589" ht="15.75" customHeight="1">
      <c r="E589" s="20"/>
    </row>
    <row r="590" ht="15.75" customHeight="1">
      <c r="E590" s="20"/>
    </row>
    <row r="591" ht="15.75" customHeight="1">
      <c r="E591" s="20"/>
    </row>
    <row r="592" ht="15.75" customHeight="1">
      <c r="E592" s="20"/>
    </row>
    <row r="593" ht="15.75" customHeight="1">
      <c r="E593" s="20"/>
    </row>
    <row r="594" ht="15.75" customHeight="1">
      <c r="E594" s="20"/>
    </row>
    <row r="595" ht="15.75" customHeight="1">
      <c r="E595" s="20"/>
    </row>
    <row r="596" ht="15.75" customHeight="1">
      <c r="E596" s="20"/>
    </row>
    <row r="597" ht="15.75" customHeight="1">
      <c r="E597" s="20"/>
    </row>
    <row r="598" ht="15.75" customHeight="1">
      <c r="E598" s="20"/>
    </row>
    <row r="599" ht="15.75" customHeight="1">
      <c r="E599" s="20"/>
    </row>
    <row r="600" ht="15.75" customHeight="1">
      <c r="E600" s="20"/>
    </row>
    <row r="601" ht="15.75" customHeight="1">
      <c r="E601" s="20"/>
    </row>
    <row r="602" ht="15.75" customHeight="1">
      <c r="E602" s="20"/>
    </row>
    <row r="603" ht="15.75" customHeight="1">
      <c r="E603" s="20"/>
    </row>
    <row r="604" ht="15.75" customHeight="1">
      <c r="E604" s="20"/>
    </row>
    <row r="605" ht="15.75" customHeight="1">
      <c r="E605" s="20"/>
    </row>
    <row r="606" ht="15.75" customHeight="1">
      <c r="E606" s="20"/>
    </row>
    <row r="607" ht="15.75" customHeight="1">
      <c r="E607" s="20"/>
    </row>
    <row r="608" ht="15.75" customHeight="1">
      <c r="E608" s="20"/>
    </row>
    <row r="609" ht="15.75" customHeight="1">
      <c r="E609" s="20"/>
    </row>
    <row r="610" ht="15.75" customHeight="1">
      <c r="E610" s="20"/>
    </row>
    <row r="611" ht="15.75" customHeight="1">
      <c r="E611" s="20"/>
    </row>
    <row r="612" ht="15.75" customHeight="1">
      <c r="E612" s="20"/>
    </row>
    <row r="613" ht="15.75" customHeight="1">
      <c r="E613" s="20"/>
    </row>
    <row r="614" ht="15.75" customHeight="1">
      <c r="E614" s="20"/>
    </row>
    <row r="615" ht="15.75" customHeight="1">
      <c r="E615" s="20"/>
    </row>
    <row r="616" ht="15.75" customHeight="1">
      <c r="E616" s="20"/>
    </row>
    <row r="617" ht="15.75" customHeight="1">
      <c r="E617" s="20"/>
    </row>
    <row r="618" ht="15.75" customHeight="1">
      <c r="E618" s="20"/>
    </row>
    <row r="619" ht="15.75" customHeight="1">
      <c r="E619" s="20"/>
    </row>
    <row r="620" ht="15.75" customHeight="1">
      <c r="E620" s="20"/>
    </row>
    <row r="621" ht="15.75" customHeight="1">
      <c r="E621" s="20"/>
    </row>
    <row r="622" ht="15.75" customHeight="1">
      <c r="E622" s="20"/>
    </row>
    <row r="623" ht="15.75" customHeight="1">
      <c r="E623" s="20"/>
    </row>
    <row r="624" ht="15.75" customHeight="1">
      <c r="E624" s="20"/>
    </row>
    <row r="625" ht="15.75" customHeight="1">
      <c r="E625" s="20"/>
    </row>
    <row r="626" ht="15.75" customHeight="1">
      <c r="E626" s="20"/>
    </row>
    <row r="627" ht="15.75" customHeight="1">
      <c r="E627" s="20"/>
    </row>
    <row r="628" ht="15.75" customHeight="1">
      <c r="E628" s="20"/>
    </row>
    <row r="629" ht="15.75" customHeight="1">
      <c r="E629" s="20"/>
    </row>
    <row r="630" ht="15.75" customHeight="1">
      <c r="E630" s="20"/>
    </row>
    <row r="631" ht="15.75" customHeight="1">
      <c r="E631" s="20"/>
    </row>
    <row r="632" ht="15.75" customHeight="1">
      <c r="E632" s="20"/>
    </row>
    <row r="633" ht="15.75" customHeight="1">
      <c r="E633" s="20"/>
    </row>
    <row r="634" ht="15.75" customHeight="1">
      <c r="E634" s="20"/>
    </row>
    <row r="635" ht="15.75" customHeight="1">
      <c r="E635" s="20"/>
    </row>
    <row r="636" ht="15.75" customHeight="1">
      <c r="E636" s="20"/>
    </row>
    <row r="637" ht="15.75" customHeight="1">
      <c r="E637" s="20"/>
    </row>
    <row r="638" ht="15.75" customHeight="1">
      <c r="E638" s="20"/>
    </row>
    <row r="639" ht="15.75" customHeight="1">
      <c r="E639" s="20"/>
    </row>
    <row r="640" ht="15.75" customHeight="1">
      <c r="E640" s="20"/>
    </row>
    <row r="641" ht="15.75" customHeight="1">
      <c r="E641" s="20"/>
    </row>
    <row r="642" ht="15.75" customHeight="1">
      <c r="E642" s="20"/>
    </row>
    <row r="643" ht="15.75" customHeight="1">
      <c r="E643" s="20"/>
    </row>
    <row r="644" ht="15.75" customHeight="1">
      <c r="E644" s="20"/>
    </row>
    <row r="645" ht="15.75" customHeight="1">
      <c r="E645" s="20"/>
    </row>
    <row r="646" ht="15.75" customHeight="1">
      <c r="E646" s="20"/>
    </row>
    <row r="647" ht="15.75" customHeight="1">
      <c r="E647" s="20"/>
    </row>
    <row r="648" ht="15.75" customHeight="1">
      <c r="E648" s="20"/>
    </row>
    <row r="649" ht="15.75" customHeight="1">
      <c r="E649" s="20"/>
    </row>
    <row r="650" ht="15.75" customHeight="1">
      <c r="E650" s="20"/>
    </row>
    <row r="651" ht="15.75" customHeight="1">
      <c r="E651" s="20"/>
    </row>
    <row r="652" ht="15.75" customHeight="1">
      <c r="E652" s="20"/>
    </row>
    <row r="653" ht="15.75" customHeight="1">
      <c r="E653" s="20"/>
    </row>
    <row r="654" ht="15.75" customHeight="1">
      <c r="E654" s="20"/>
    </row>
    <row r="655" ht="15.75" customHeight="1">
      <c r="E655" s="20"/>
    </row>
    <row r="656" ht="15.75" customHeight="1">
      <c r="E656" s="20"/>
    </row>
    <row r="657" ht="15.75" customHeight="1">
      <c r="E657" s="20"/>
    </row>
    <row r="658" ht="15.75" customHeight="1">
      <c r="E658" s="20"/>
    </row>
    <row r="659" ht="15.75" customHeight="1">
      <c r="E659" s="20"/>
    </row>
    <row r="660" ht="15.75" customHeight="1">
      <c r="E660" s="20"/>
    </row>
    <row r="661" ht="15.75" customHeight="1">
      <c r="E661" s="20"/>
    </row>
    <row r="662" ht="15.75" customHeight="1">
      <c r="E662" s="20"/>
    </row>
    <row r="663" ht="15.75" customHeight="1">
      <c r="E663" s="20"/>
    </row>
    <row r="664" ht="15.75" customHeight="1">
      <c r="E664" s="20"/>
    </row>
    <row r="665" ht="15.75" customHeight="1">
      <c r="E665" s="20"/>
    </row>
    <row r="666" ht="15.75" customHeight="1">
      <c r="E666" s="20"/>
    </row>
    <row r="667" ht="15.75" customHeight="1">
      <c r="E667" s="20"/>
    </row>
    <row r="668" ht="15.75" customHeight="1">
      <c r="E668" s="20"/>
    </row>
    <row r="669" ht="15.75" customHeight="1">
      <c r="E669" s="20"/>
    </row>
    <row r="670" ht="15.75" customHeight="1">
      <c r="E670" s="20"/>
    </row>
    <row r="671" ht="15.75" customHeight="1">
      <c r="E671" s="20"/>
    </row>
    <row r="672" ht="15.75" customHeight="1">
      <c r="E672" s="20"/>
    </row>
    <row r="673" ht="15.75" customHeight="1">
      <c r="E673" s="20"/>
    </row>
    <row r="674" ht="15.75" customHeight="1">
      <c r="E674" s="20"/>
    </row>
    <row r="675" ht="15.75" customHeight="1">
      <c r="E675" s="20"/>
    </row>
    <row r="676" ht="15.75" customHeight="1">
      <c r="E676" s="20"/>
    </row>
    <row r="677" ht="15.75" customHeight="1">
      <c r="E677" s="20"/>
    </row>
    <row r="678" ht="15.75" customHeight="1">
      <c r="E678" s="20"/>
    </row>
    <row r="679" ht="15.75" customHeight="1">
      <c r="E679" s="20"/>
    </row>
    <row r="680" ht="15.75" customHeight="1">
      <c r="E680" s="20"/>
    </row>
    <row r="681" ht="15.75" customHeight="1">
      <c r="E681" s="20"/>
    </row>
    <row r="682" ht="15.75" customHeight="1">
      <c r="E682" s="20"/>
    </row>
    <row r="683" ht="15.75" customHeight="1">
      <c r="E683" s="20"/>
    </row>
    <row r="684" ht="15.75" customHeight="1">
      <c r="E684" s="20"/>
    </row>
    <row r="685" ht="15.75" customHeight="1">
      <c r="E685" s="20"/>
    </row>
    <row r="686" ht="15.75" customHeight="1">
      <c r="E686" s="20"/>
    </row>
    <row r="687" ht="15.75" customHeight="1">
      <c r="E687" s="20"/>
    </row>
    <row r="688" ht="15.75" customHeight="1">
      <c r="E688" s="20"/>
    </row>
    <row r="689" ht="15.75" customHeight="1">
      <c r="E689" s="20"/>
    </row>
    <row r="690" ht="15.75" customHeight="1">
      <c r="E690" s="20"/>
    </row>
    <row r="691" ht="15.75" customHeight="1">
      <c r="E691" s="20"/>
    </row>
    <row r="692" ht="15.75" customHeight="1">
      <c r="E692" s="20"/>
    </row>
    <row r="693" ht="15.75" customHeight="1">
      <c r="E693" s="20"/>
    </row>
    <row r="694" ht="15.75" customHeight="1">
      <c r="E694" s="20"/>
    </row>
    <row r="695" ht="15.75" customHeight="1">
      <c r="E695" s="20"/>
    </row>
    <row r="696" ht="15.75" customHeight="1">
      <c r="E696" s="20"/>
    </row>
    <row r="697" ht="15.75" customHeight="1">
      <c r="E697" s="20"/>
    </row>
    <row r="698" ht="15.75" customHeight="1">
      <c r="E698" s="20"/>
    </row>
    <row r="699" ht="15.75" customHeight="1">
      <c r="E699" s="20"/>
    </row>
    <row r="700" ht="15.75" customHeight="1">
      <c r="E700" s="20"/>
    </row>
    <row r="701" ht="15.75" customHeight="1">
      <c r="E701" s="20"/>
    </row>
    <row r="702" ht="15.75" customHeight="1">
      <c r="E702" s="20"/>
    </row>
    <row r="703" ht="15.75" customHeight="1">
      <c r="E703" s="20"/>
    </row>
    <row r="704" ht="15.75" customHeight="1">
      <c r="E704" s="20"/>
    </row>
    <row r="705" ht="15.75" customHeight="1">
      <c r="E705" s="20"/>
    </row>
    <row r="706" ht="15.75" customHeight="1">
      <c r="E706" s="20"/>
    </row>
    <row r="707" ht="15.75" customHeight="1">
      <c r="E707" s="20"/>
    </row>
    <row r="708" ht="15.75" customHeight="1">
      <c r="E708" s="20"/>
    </row>
    <row r="709" ht="15.75" customHeight="1">
      <c r="E709" s="20"/>
    </row>
    <row r="710" ht="15.75" customHeight="1">
      <c r="E710" s="20"/>
    </row>
    <row r="711" ht="15.75" customHeight="1">
      <c r="E711" s="20"/>
    </row>
    <row r="712" ht="15.75" customHeight="1">
      <c r="E712" s="20"/>
    </row>
    <row r="713" ht="15.75" customHeight="1">
      <c r="E713" s="20"/>
    </row>
    <row r="714" ht="15.75" customHeight="1">
      <c r="E714" s="20"/>
    </row>
    <row r="715" ht="15.75" customHeight="1">
      <c r="E715" s="20"/>
    </row>
    <row r="716" ht="15.75" customHeight="1">
      <c r="E716" s="20"/>
    </row>
    <row r="717" ht="15.75" customHeight="1">
      <c r="E717" s="20"/>
    </row>
    <row r="718" ht="15.75" customHeight="1">
      <c r="E718" s="20"/>
    </row>
    <row r="719" ht="15.75" customHeight="1">
      <c r="E719" s="20"/>
    </row>
    <row r="720" ht="15.75" customHeight="1">
      <c r="E720" s="20"/>
    </row>
    <row r="721" ht="15.75" customHeight="1">
      <c r="E721" s="20"/>
    </row>
    <row r="722" ht="15.75" customHeight="1">
      <c r="E722" s="20"/>
    </row>
    <row r="723" ht="15.75" customHeight="1">
      <c r="E723" s="20"/>
    </row>
    <row r="724" ht="15.75" customHeight="1">
      <c r="E724" s="20"/>
    </row>
    <row r="725" ht="15.75" customHeight="1">
      <c r="E725" s="20"/>
    </row>
    <row r="726" ht="15.75" customHeight="1">
      <c r="E726" s="20"/>
    </row>
    <row r="727" ht="15.75" customHeight="1">
      <c r="E727" s="20"/>
    </row>
    <row r="728" ht="15.75" customHeight="1">
      <c r="E728" s="20"/>
    </row>
    <row r="729" ht="15.75" customHeight="1">
      <c r="E729" s="20"/>
    </row>
    <row r="730" ht="15.75" customHeight="1">
      <c r="E730" s="20"/>
    </row>
    <row r="731" ht="15.75" customHeight="1">
      <c r="E731" s="20"/>
    </row>
    <row r="732" ht="15.75" customHeight="1">
      <c r="E732" s="20"/>
    </row>
    <row r="733" ht="15.75" customHeight="1">
      <c r="E733" s="20"/>
    </row>
    <row r="734" ht="15.75" customHeight="1">
      <c r="E734" s="20"/>
    </row>
    <row r="735" ht="15.75" customHeight="1">
      <c r="E735" s="20"/>
    </row>
    <row r="736" ht="15.75" customHeight="1">
      <c r="E736" s="20"/>
    </row>
    <row r="737" ht="15.75" customHeight="1">
      <c r="E737" s="20"/>
    </row>
    <row r="738" ht="15.75" customHeight="1">
      <c r="E738" s="20"/>
    </row>
    <row r="739" ht="15.75" customHeight="1">
      <c r="E739" s="20"/>
    </row>
    <row r="740" ht="15.75" customHeight="1">
      <c r="E740" s="20"/>
    </row>
    <row r="741" ht="15.75" customHeight="1">
      <c r="E741" s="20"/>
    </row>
    <row r="742" ht="15.75" customHeight="1">
      <c r="E742" s="20"/>
    </row>
    <row r="743" ht="15.75" customHeight="1">
      <c r="E743" s="20"/>
    </row>
    <row r="744" ht="15.75" customHeight="1">
      <c r="E744" s="20"/>
    </row>
    <row r="745" ht="15.75" customHeight="1">
      <c r="E745" s="20"/>
    </row>
    <row r="746" ht="15.75" customHeight="1">
      <c r="E746" s="20"/>
    </row>
    <row r="747" ht="15.75" customHeight="1">
      <c r="E747" s="20"/>
    </row>
    <row r="748" ht="15.75" customHeight="1">
      <c r="E748" s="20"/>
    </row>
    <row r="749" ht="15.75" customHeight="1">
      <c r="E749" s="20"/>
    </row>
    <row r="750" ht="15.75" customHeight="1">
      <c r="E750" s="20"/>
    </row>
    <row r="751" ht="15.75" customHeight="1">
      <c r="E751" s="20"/>
    </row>
    <row r="752" ht="15.75" customHeight="1">
      <c r="E752" s="20"/>
    </row>
    <row r="753" ht="15.75" customHeight="1">
      <c r="E753" s="20"/>
    </row>
    <row r="754" ht="15.75" customHeight="1">
      <c r="E754" s="20"/>
    </row>
    <row r="755" ht="15.75" customHeight="1">
      <c r="E755" s="20"/>
    </row>
    <row r="756" ht="15.75" customHeight="1">
      <c r="E756" s="20"/>
    </row>
    <row r="757" ht="15.75" customHeight="1">
      <c r="E757" s="20"/>
    </row>
    <row r="758" ht="15.75" customHeight="1">
      <c r="E758" s="20"/>
    </row>
    <row r="759" ht="15.75" customHeight="1">
      <c r="E759" s="20"/>
    </row>
    <row r="760" ht="15.75" customHeight="1">
      <c r="E760" s="20"/>
    </row>
    <row r="761" ht="15.75" customHeight="1">
      <c r="E761" s="20"/>
    </row>
    <row r="762" ht="15.75" customHeight="1">
      <c r="E762" s="20"/>
    </row>
    <row r="763" ht="15.75" customHeight="1">
      <c r="E763" s="20"/>
    </row>
    <row r="764" ht="15.75" customHeight="1">
      <c r="E764" s="20"/>
    </row>
    <row r="765" ht="15.75" customHeight="1">
      <c r="E765" s="20"/>
    </row>
    <row r="766" ht="15.75" customHeight="1">
      <c r="E766" s="20"/>
    </row>
    <row r="767" ht="15.75" customHeight="1">
      <c r="E767" s="20"/>
    </row>
    <row r="768" ht="15.75" customHeight="1">
      <c r="E768" s="20"/>
    </row>
    <row r="769" ht="15.75" customHeight="1">
      <c r="E769" s="20"/>
    </row>
    <row r="770" ht="15.75" customHeight="1">
      <c r="E770" s="20"/>
    </row>
    <row r="771" ht="15.75" customHeight="1">
      <c r="E771" s="20"/>
    </row>
    <row r="772" ht="15.75" customHeight="1">
      <c r="E772" s="20"/>
    </row>
    <row r="773" ht="15.75" customHeight="1">
      <c r="E773" s="20"/>
    </row>
    <row r="774" ht="15.75" customHeight="1">
      <c r="E774" s="20"/>
    </row>
    <row r="775" ht="15.75" customHeight="1">
      <c r="E775" s="20"/>
    </row>
    <row r="776" ht="15.75" customHeight="1">
      <c r="E776" s="20"/>
    </row>
    <row r="777" ht="15.75" customHeight="1">
      <c r="E777" s="20"/>
    </row>
    <row r="778" ht="15.75" customHeight="1">
      <c r="E778" s="20"/>
    </row>
    <row r="779" ht="15.75" customHeight="1">
      <c r="E779" s="20"/>
    </row>
    <row r="780" ht="15.75" customHeight="1">
      <c r="E780" s="20"/>
    </row>
    <row r="781" ht="15.75" customHeight="1">
      <c r="E781" s="20"/>
    </row>
    <row r="782" ht="15.75" customHeight="1">
      <c r="E782" s="20"/>
    </row>
    <row r="783" ht="15.75" customHeight="1">
      <c r="E783" s="20"/>
    </row>
    <row r="784" ht="15.75" customHeight="1">
      <c r="E784" s="20"/>
    </row>
    <row r="785" ht="15.75" customHeight="1">
      <c r="E785" s="20"/>
    </row>
    <row r="786" ht="15.75" customHeight="1">
      <c r="E786" s="20"/>
    </row>
    <row r="787" ht="15.75" customHeight="1">
      <c r="E787" s="20"/>
    </row>
    <row r="788" ht="15.75" customHeight="1">
      <c r="E788" s="20"/>
    </row>
    <row r="789" ht="15.75" customHeight="1">
      <c r="E789" s="20"/>
    </row>
    <row r="790" ht="15.75" customHeight="1">
      <c r="E790" s="20"/>
    </row>
    <row r="791" ht="15.75" customHeight="1">
      <c r="E791" s="20"/>
    </row>
    <row r="792" ht="15.75" customHeight="1">
      <c r="E792" s="20"/>
    </row>
    <row r="793" ht="15.75" customHeight="1">
      <c r="E793" s="20"/>
    </row>
    <row r="794" ht="15.75" customHeight="1">
      <c r="E794" s="20"/>
    </row>
    <row r="795" ht="15.75" customHeight="1">
      <c r="E795" s="20"/>
    </row>
    <row r="796" ht="15.75" customHeight="1">
      <c r="E796" s="20"/>
    </row>
    <row r="797" ht="15.75" customHeight="1">
      <c r="E797" s="20"/>
    </row>
    <row r="798" ht="15.75" customHeight="1">
      <c r="E798" s="20"/>
    </row>
    <row r="799" ht="15.75" customHeight="1">
      <c r="E799" s="20"/>
    </row>
    <row r="800" ht="15.75" customHeight="1">
      <c r="E800" s="20"/>
    </row>
    <row r="801" ht="15.75" customHeight="1">
      <c r="E801" s="20"/>
    </row>
    <row r="802" ht="15.75" customHeight="1">
      <c r="E802" s="20"/>
    </row>
    <row r="803" ht="15.75" customHeight="1">
      <c r="E803" s="20"/>
    </row>
    <row r="804" ht="15.75" customHeight="1">
      <c r="E804" s="20"/>
    </row>
    <row r="805" ht="15.75" customHeight="1">
      <c r="E805" s="20"/>
    </row>
    <row r="806" ht="15.75" customHeight="1">
      <c r="E806" s="20"/>
    </row>
    <row r="807" ht="15.75" customHeight="1">
      <c r="E807" s="20"/>
    </row>
    <row r="808" ht="15.75" customHeight="1">
      <c r="E808" s="20"/>
    </row>
    <row r="809" ht="15.75" customHeight="1">
      <c r="E809" s="20"/>
    </row>
    <row r="810" ht="15.75" customHeight="1">
      <c r="E810" s="20"/>
    </row>
    <row r="811" ht="15.75" customHeight="1">
      <c r="E811" s="20"/>
    </row>
    <row r="812" ht="15.75" customHeight="1">
      <c r="E812" s="20"/>
    </row>
    <row r="813" ht="15.75" customHeight="1">
      <c r="E813" s="20"/>
    </row>
    <row r="814" ht="15.75" customHeight="1">
      <c r="E814" s="20"/>
    </row>
    <row r="815" ht="15.75" customHeight="1">
      <c r="E815" s="20"/>
    </row>
    <row r="816" ht="15.75" customHeight="1">
      <c r="E816" s="20"/>
    </row>
    <row r="817" ht="15.75" customHeight="1">
      <c r="E817" s="20"/>
    </row>
    <row r="818" ht="15.75" customHeight="1">
      <c r="E818" s="20"/>
    </row>
    <row r="819" ht="15.75" customHeight="1">
      <c r="E819" s="20"/>
    </row>
    <row r="820" ht="15.75" customHeight="1">
      <c r="E820" s="20"/>
    </row>
    <row r="821" ht="15.75" customHeight="1">
      <c r="E821" s="20"/>
    </row>
    <row r="822" ht="15.75" customHeight="1">
      <c r="E822" s="20"/>
    </row>
    <row r="823" ht="15.75" customHeight="1">
      <c r="E823" s="20"/>
    </row>
    <row r="824" ht="15.75" customHeight="1">
      <c r="E824" s="20"/>
    </row>
    <row r="825" ht="15.75" customHeight="1">
      <c r="E825" s="20"/>
    </row>
    <row r="826" ht="15.75" customHeight="1">
      <c r="E826" s="20"/>
    </row>
    <row r="827" ht="15.75" customHeight="1">
      <c r="E827" s="20"/>
    </row>
    <row r="828" ht="15.75" customHeight="1">
      <c r="E828" s="20"/>
    </row>
    <row r="829" ht="15.75" customHeight="1">
      <c r="E829" s="20"/>
    </row>
    <row r="830" ht="15.75" customHeight="1">
      <c r="E830" s="20"/>
    </row>
    <row r="831" ht="15.75" customHeight="1">
      <c r="E831" s="20"/>
    </row>
    <row r="832" ht="15.75" customHeight="1">
      <c r="E832" s="20"/>
    </row>
    <row r="833" ht="15.75" customHeight="1">
      <c r="E833" s="20"/>
    </row>
    <row r="834" ht="15.75" customHeight="1">
      <c r="E834" s="20"/>
    </row>
    <row r="835" ht="15.75" customHeight="1">
      <c r="E835" s="20"/>
    </row>
    <row r="836" ht="15.75" customHeight="1">
      <c r="E836" s="20"/>
    </row>
    <row r="837" ht="15.75" customHeight="1">
      <c r="E837" s="20"/>
    </row>
    <row r="838" ht="15.75" customHeight="1">
      <c r="E838" s="20"/>
    </row>
    <row r="839" ht="15.75" customHeight="1">
      <c r="E839" s="20"/>
    </row>
    <row r="840" ht="15.75" customHeight="1">
      <c r="E840" s="20"/>
    </row>
    <row r="841" ht="15.75" customHeight="1">
      <c r="E841" s="20"/>
    </row>
    <row r="842" ht="15.75" customHeight="1">
      <c r="E842" s="20"/>
    </row>
    <row r="843" ht="15.75" customHeight="1">
      <c r="E843" s="20"/>
    </row>
    <row r="844" ht="15.75" customHeight="1">
      <c r="E844" s="20"/>
    </row>
    <row r="845" ht="15.75" customHeight="1">
      <c r="E845" s="20"/>
    </row>
    <row r="846" ht="15.75" customHeight="1">
      <c r="E846" s="20"/>
    </row>
    <row r="847" ht="15.75" customHeight="1">
      <c r="E847" s="20"/>
    </row>
    <row r="848" ht="15.75" customHeight="1">
      <c r="E848" s="20"/>
    </row>
    <row r="849" ht="15.75" customHeight="1">
      <c r="E849" s="20"/>
    </row>
    <row r="850" ht="15.75" customHeight="1">
      <c r="E850" s="20"/>
    </row>
    <row r="851" ht="15.75" customHeight="1">
      <c r="E851" s="20"/>
    </row>
    <row r="852" ht="15.75" customHeight="1">
      <c r="E852" s="20"/>
    </row>
    <row r="853" ht="15.75" customHeight="1">
      <c r="E853" s="20"/>
    </row>
    <row r="854" ht="15.75" customHeight="1">
      <c r="E854" s="20"/>
    </row>
    <row r="855" ht="15.75" customHeight="1">
      <c r="E855" s="20"/>
    </row>
    <row r="856" ht="15.75" customHeight="1">
      <c r="E856" s="20"/>
    </row>
    <row r="857" ht="15.75" customHeight="1">
      <c r="E857" s="20"/>
    </row>
    <row r="858" ht="15.75" customHeight="1">
      <c r="E858" s="20"/>
    </row>
    <row r="859" ht="15.75" customHeight="1">
      <c r="E859" s="20"/>
    </row>
    <row r="860" ht="15.75" customHeight="1">
      <c r="E860" s="20"/>
    </row>
    <row r="861" ht="15.75" customHeight="1">
      <c r="E861" s="20"/>
    </row>
    <row r="862" ht="15.75" customHeight="1">
      <c r="E862" s="20"/>
    </row>
    <row r="863" ht="15.75" customHeight="1">
      <c r="E863" s="20"/>
    </row>
    <row r="864" ht="15.75" customHeight="1">
      <c r="E864" s="20"/>
    </row>
    <row r="865" ht="15.75" customHeight="1">
      <c r="E865" s="20"/>
    </row>
    <row r="866" ht="15.75" customHeight="1">
      <c r="E866" s="20"/>
    </row>
    <row r="867" ht="15.75" customHeight="1">
      <c r="E867" s="20"/>
    </row>
    <row r="868" ht="15.75" customHeight="1">
      <c r="E868" s="20"/>
    </row>
    <row r="869" ht="15.75" customHeight="1">
      <c r="E869" s="20"/>
    </row>
    <row r="870" ht="15.75" customHeight="1">
      <c r="E870" s="20"/>
    </row>
    <row r="871" ht="15.75" customHeight="1">
      <c r="E871" s="20"/>
    </row>
    <row r="872" ht="15.75" customHeight="1">
      <c r="E872" s="20"/>
    </row>
    <row r="873" ht="15.75" customHeight="1">
      <c r="E873" s="20"/>
    </row>
    <row r="874" ht="15.75" customHeight="1">
      <c r="E874" s="20"/>
    </row>
    <row r="875" ht="15.75" customHeight="1">
      <c r="E875" s="20"/>
    </row>
    <row r="876" ht="15.75" customHeight="1">
      <c r="E876" s="20"/>
    </row>
    <row r="877" ht="15.75" customHeight="1">
      <c r="E877" s="20"/>
    </row>
    <row r="878" ht="15.75" customHeight="1">
      <c r="E878" s="20"/>
    </row>
    <row r="879" ht="15.75" customHeight="1">
      <c r="E879" s="20"/>
    </row>
    <row r="880" ht="15.75" customHeight="1">
      <c r="E880" s="20"/>
    </row>
    <row r="881" ht="15.75" customHeight="1">
      <c r="E881" s="20"/>
    </row>
    <row r="882" ht="15.75" customHeight="1">
      <c r="E882" s="20"/>
    </row>
    <row r="883" ht="15.75" customHeight="1">
      <c r="E883" s="20"/>
    </row>
    <row r="884" ht="15.75" customHeight="1">
      <c r="E884" s="20"/>
    </row>
    <row r="885" ht="15.75" customHeight="1">
      <c r="E885" s="20"/>
    </row>
    <row r="886" ht="15.75" customHeight="1">
      <c r="E886" s="20"/>
    </row>
    <row r="887" ht="15.75" customHeight="1">
      <c r="E887" s="20"/>
    </row>
    <row r="888" ht="15.75" customHeight="1">
      <c r="E888" s="20"/>
    </row>
    <row r="889" ht="15.75" customHeight="1">
      <c r="E889" s="20"/>
    </row>
    <row r="890" ht="15.75" customHeight="1">
      <c r="E890" s="20"/>
    </row>
    <row r="891" ht="15.75" customHeight="1">
      <c r="E891" s="20"/>
    </row>
    <row r="892" ht="15.75" customHeight="1">
      <c r="E892" s="20"/>
    </row>
    <row r="893" ht="15.75" customHeight="1">
      <c r="E893" s="20"/>
    </row>
    <row r="894" ht="15.75" customHeight="1">
      <c r="E894" s="20"/>
    </row>
    <row r="895" ht="15.75" customHeight="1">
      <c r="E895" s="20"/>
    </row>
    <row r="896" ht="15.75" customHeight="1">
      <c r="E896" s="20"/>
    </row>
    <row r="897" ht="15.75" customHeight="1">
      <c r="E897" s="20"/>
    </row>
    <row r="898" ht="15.75" customHeight="1">
      <c r="E898" s="20"/>
    </row>
    <row r="899" ht="15.75" customHeight="1">
      <c r="E899" s="20"/>
    </row>
    <row r="900" ht="15.75" customHeight="1">
      <c r="E900" s="20"/>
    </row>
    <row r="901" ht="15.75" customHeight="1">
      <c r="E901" s="20"/>
    </row>
    <row r="902" ht="15.75" customHeight="1">
      <c r="E902" s="20"/>
    </row>
    <row r="903" ht="15.75" customHeight="1">
      <c r="E903" s="20"/>
    </row>
    <row r="904" ht="15.75" customHeight="1">
      <c r="E904" s="20"/>
    </row>
    <row r="905" ht="15.75" customHeight="1">
      <c r="E905" s="20"/>
    </row>
    <row r="906" ht="15.75" customHeight="1">
      <c r="E906" s="20"/>
    </row>
    <row r="907" ht="15.75" customHeight="1">
      <c r="E907" s="20"/>
    </row>
    <row r="908" ht="15.75" customHeight="1">
      <c r="E908" s="20"/>
    </row>
    <row r="909" ht="15.75" customHeight="1">
      <c r="E909" s="20"/>
    </row>
    <row r="910" ht="15.75" customHeight="1">
      <c r="E910" s="20"/>
    </row>
    <row r="911" ht="15.75" customHeight="1">
      <c r="E911" s="20"/>
    </row>
    <row r="912" ht="15.75" customHeight="1">
      <c r="E912" s="20"/>
    </row>
    <row r="913" ht="15.75" customHeight="1">
      <c r="E913" s="20"/>
    </row>
    <row r="914" ht="15.75" customHeight="1">
      <c r="E914" s="20"/>
    </row>
    <row r="915" ht="15.75" customHeight="1">
      <c r="E915" s="20"/>
    </row>
    <row r="916" ht="15.75" customHeight="1">
      <c r="E916" s="20"/>
    </row>
    <row r="917" ht="15.75" customHeight="1">
      <c r="E917" s="20"/>
    </row>
    <row r="918" ht="15.75" customHeight="1">
      <c r="E918" s="20"/>
    </row>
    <row r="919" ht="15.75" customHeight="1">
      <c r="E919" s="20"/>
    </row>
    <row r="920" ht="15.75" customHeight="1">
      <c r="E920" s="20"/>
    </row>
    <row r="921" ht="15.75" customHeight="1">
      <c r="E921" s="20"/>
    </row>
    <row r="922" ht="15.75" customHeight="1">
      <c r="E922" s="20"/>
    </row>
    <row r="923" ht="15.75" customHeight="1">
      <c r="E923" s="20"/>
    </row>
    <row r="924" ht="15.75" customHeight="1">
      <c r="E924" s="20"/>
    </row>
    <row r="925" ht="15.75" customHeight="1">
      <c r="E925" s="20"/>
    </row>
    <row r="926" ht="15.75" customHeight="1">
      <c r="E926" s="20"/>
    </row>
    <row r="927" ht="15.75" customHeight="1">
      <c r="E927" s="20"/>
    </row>
    <row r="928" ht="15.75" customHeight="1">
      <c r="E928" s="20"/>
    </row>
    <row r="929" ht="15.75" customHeight="1">
      <c r="E929" s="20"/>
    </row>
    <row r="930" ht="15.75" customHeight="1">
      <c r="E930" s="20"/>
    </row>
    <row r="931" ht="15.75" customHeight="1">
      <c r="E931" s="20"/>
    </row>
    <row r="932" ht="15.75" customHeight="1">
      <c r="E932" s="20"/>
    </row>
    <row r="933" ht="15.75" customHeight="1">
      <c r="E933" s="20"/>
    </row>
    <row r="934" ht="15.75" customHeight="1">
      <c r="E934" s="20"/>
    </row>
    <row r="935" ht="15.75" customHeight="1">
      <c r="E935" s="20"/>
    </row>
    <row r="936" ht="15.75" customHeight="1">
      <c r="E936" s="20"/>
    </row>
    <row r="937" ht="15.75" customHeight="1">
      <c r="E937" s="20"/>
    </row>
    <row r="938" ht="15.75" customHeight="1">
      <c r="E938" s="20"/>
    </row>
    <row r="939" ht="15.75" customHeight="1">
      <c r="E939" s="20"/>
    </row>
    <row r="940" ht="15.75" customHeight="1">
      <c r="E940" s="20"/>
    </row>
    <row r="941" ht="15.75" customHeight="1">
      <c r="E941" s="20"/>
    </row>
    <row r="942" ht="15.75" customHeight="1">
      <c r="E942" s="20"/>
    </row>
    <row r="943" ht="15.75" customHeight="1">
      <c r="E943" s="20"/>
    </row>
    <row r="944" ht="15.75" customHeight="1">
      <c r="E944" s="20"/>
    </row>
    <row r="945" ht="15.75" customHeight="1">
      <c r="E945" s="20"/>
    </row>
    <row r="946" ht="15.75" customHeight="1">
      <c r="E946" s="20"/>
    </row>
    <row r="947" ht="15.75" customHeight="1">
      <c r="E947" s="20"/>
    </row>
    <row r="948" ht="15.75" customHeight="1">
      <c r="E948" s="20"/>
    </row>
    <row r="949" ht="15.75" customHeight="1">
      <c r="E949" s="20"/>
    </row>
    <row r="950" ht="15.75" customHeight="1">
      <c r="E950" s="20"/>
    </row>
    <row r="951" ht="15.75" customHeight="1">
      <c r="E951" s="20"/>
    </row>
    <row r="952" ht="15.75" customHeight="1">
      <c r="E952" s="20"/>
    </row>
    <row r="953" ht="15.75" customHeight="1">
      <c r="E953" s="20"/>
    </row>
    <row r="954" ht="15.75" customHeight="1">
      <c r="E954" s="20"/>
    </row>
    <row r="955" ht="15.75" customHeight="1">
      <c r="E955" s="20"/>
    </row>
    <row r="956" ht="15.75" customHeight="1">
      <c r="E956" s="20"/>
    </row>
    <row r="957" ht="15.75" customHeight="1">
      <c r="E957" s="20"/>
    </row>
    <row r="958" ht="15.75" customHeight="1">
      <c r="E958" s="20"/>
    </row>
    <row r="959" ht="15.75" customHeight="1">
      <c r="E959" s="20"/>
    </row>
    <row r="960" ht="15.75" customHeight="1">
      <c r="E960" s="20"/>
    </row>
    <row r="961" ht="15.75" customHeight="1">
      <c r="E961" s="20"/>
    </row>
    <row r="962" ht="15.75" customHeight="1">
      <c r="E962" s="20"/>
    </row>
    <row r="963" ht="15.75" customHeight="1">
      <c r="E963" s="20"/>
    </row>
    <row r="964" ht="15.75" customHeight="1">
      <c r="E964" s="20"/>
    </row>
    <row r="965" ht="15.75" customHeight="1">
      <c r="E965" s="20"/>
    </row>
    <row r="966" ht="15.75" customHeight="1">
      <c r="E966" s="20"/>
    </row>
    <row r="967" ht="15.75" customHeight="1">
      <c r="E967" s="20"/>
    </row>
    <row r="968" ht="15.75" customHeight="1">
      <c r="E968" s="20"/>
    </row>
    <row r="969" ht="15.75" customHeight="1">
      <c r="E969" s="20"/>
    </row>
    <row r="970" ht="15.75" customHeight="1">
      <c r="E970" s="20"/>
    </row>
    <row r="971" ht="15.75" customHeight="1">
      <c r="E971" s="20"/>
    </row>
    <row r="972" ht="15.75" customHeight="1">
      <c r="E972" s="20"/>
    </row>
    <row r="973" ht="15.75" customHeight="1">
      <c r="E973" s="20"/>
    </row>
    <row r="974" ht="15.75" customHeight="1">
      <c r="E974" s="20"/>
    </row>
    <row r="975" ht="15.75" customHeight="1">
      <c r="E975" s="20"/>
    </row>
    <row r="976" ht="15.75" customHeight="1">
      <c r="E976" s="20"/>
    </row>
    <row r="977" ht="15.75" customHeight="1">
      <c r="E977" s="20"/>
    </row>
    <row r="978" ht="15.75" customHeight="1">
      <c r="E978" s="20"/>
    </row>
    <row r="979" ht="15.75" customHeight="1">
      <c r="E979" s="20"/>
    </row>
    <row r="980" ht="15.75" customHeight="1">
      <c r="E980" s="20"/>
    </row>
    <row r="981" ht="15.75" customHeight="1">
      <c r="E981" s="20"/>
    </row>
    <row r="982" ht="15.75" customHeight="1">
      <c r="E982" s="20"/>
    </row>
    <row r="983" ht="15.75" customHeight="1">
      <c r="E983" s="20"/>
    </row>
    <row r="984" ht="15.75" customHeight="1">
      <c r="E984" s="20"/>
    </row>
    <row r="985" ht="15.75" customHeight="1">
      <c r="E985" s="20"/>
    </row>
    <row r="986" ht="15.75" customHeight="1">
      <c r="E986" s="20"/>
    </row>
    <row r="987" ht="15.75" customHeight="1">
      <c r="E987" s="20"/>
    </row>
    <row r="988" ht="15.75" customHeight="1">
      <c r="E988" s="20"/>
    </row>
    <row r="989" ht="15.75" customHeight="1">
      <c r="E989" s="20"/>
    </row>
    <row r="990" ht="15.75" customHeight="1">
      <c r="E990" s="20"/>
    </row>
    <row r="991" ht="15.75" customHeight="1">
      <c r="E991" s="20"/>
    </row>
    <row r="992" ht="15.75" customHeight="1">
      <c r="E992" s="20"/>
    </row>
    <row r="993" ht="15.75" customHeight="1">
      <c r="E993" s="20"/>
    </row>
    <row r="994" ht="15.75" customHeight="1">
      <c r="E994" s="20"/>
    </row>
    <row r="995" ht="15.75" customHeight="1">
      <c r="E995" s="20"/>
    </row>
    <row r="996" ht="15.75" customHeight="1">
      <c r="E996" s="20"/>
    </row>
    <row r="997" ht="15.75" customHeight="1">
      <c r="E997" s="20"/>
    </row>
    <row r="998" ht="15.75" customHeight="1">
      <c r="E998" s="20"/>
    </row>
    <row r="999" ht="15.75" customHeight="1">
      <c r="E999" s="20"/>
    </row>
    <row r="1000" ht="15.75" customHeight="1">
      <c r="E1000" s="20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3" width="18.0"/>
    <col customWidth="1" min="4" max="4" width="33.0"/>
    <col customWidth="1" min="5" max="5" width="18.0"/>
    <col customWidth="1" min="6" max="6" width="24.0"/>
    <col customWidth="1" min="7" max="7" width="18.0"/>
    <col customWidth="1" min="8" max="8" width="23.0"/>
    <col customWidth="1" min="9" max="10" width="18.0"/>
    <col customWidth="1" min="11" max="26" width="8.71"/>
  </cols>
  <sheetData>
    <row r="1">
      <c r="A1" s="1" t="s">
        <v>1304</v>
      </c>
    </row>
    <row r="2" ht="37.5" customHeight="1">
      <c r="A2" s="3" t="s">
        <v>1305</v>
      </c>
    </row>
    <row r="4">
      <c r="A4" s="4" t="s">
        <v>4</v>
      </c>
      <c r="B4" s="4" t="s">
        <v>5</v>
      </c>
      <c r="C4" s="4" t="s">
        <v>1273</v>
      </c>
      <c r="D4" s="4" t="s">
        <v>1274</v>
      </c>
      <c r="E4" s="4" t="s">
        <v>1306</v>
      </c>
      <c r="F4" s="4" t="s">
        <v>1307</v>
      </c>
      <c r="G4" s="4" t="s">
        <v>7</v>
      </c>
      <c r="H4" s="4" t="s">
        <v>1256</v>
      </c>
      <c r="I4" s="4" t="s">
        <v>771</v>
      </c>
      <c r="J4" s="4" t="s">
        <v>74</v>
      </c>
    </row>
    <row r="5">
      <c r="A5" s="5" t="s">
        <v>75</v>
      </c>
      <c r="B5" s="5" t="s">
        <v>832</v>
      </c>
      <c r="C5" s="6" t="s">
        <v>1278</v>
      </c>
      <c r="D5" s="5" t="s">
        <v>1279</v>
      </c>
      <c r="E5" s="5" t="s">
        <v>1308</v>
      </c>
      <c r="F5" s="5" t="s">
        <v>1309</v>
      </c>
      <c r="G5" s="6" t="s">
        <v>836</v>
      </c>
      <c r="H5" s="6" t="s">
        <v>1260</v>
      </c>
      <c r="I5" s="6" t="s">
        <v>1310</v>
      </c>
      <c r="J5" s="6" t="s">
        <v>85</v>
      </c>
    </row>
    <row r="6">
      <c r="A6" s="7" t="s">
        <v>36</v>
      </c>
      <c r="B6" s="7" t="s">
        <v>36</v>
      </c>
      <c r="C6" s="7" t="s">
        <v>38</v>
      </c>
      <c r="D6" s="7" t="s">
        <v>36</v>
      </c>
      <c r="E6" s="7" t="s">
        <v>36</v>
      </c>
      <c r="F6" s="7" t="s">
        <v>36</v>
      </c>
      <c r="G6" s="7" t="s">
        <v>38</v>
      </c>
      <c r="H6" s="7" t="s">
        <v>38</v>
      </c>
      <c r="I6" s="7" t="s">
        <v>38</v>
      </c>
      <c r="J6" s="7" t="s">
        <v>38</v>
      </c>
    </row>
    <row r="7" ht="90.0" customHeight="1">
      <c r="A7" s="8"/>
      <c r="B7" s="8"/>
      <c r="C7" s="8" t="s">
        <v>1283</v>
      </c>
      <c r="D7" s="8" t="s">
        <v>1311</v>
      </c>
      <c r="E7" s="8" t="s">
        <v>1312</v>
      </c>
      <c r="F7" s="8"/>
      <c r="G7" s="8" t="s">
        <v>1265</v>
      </c>
      <c r="H7" s="8" t="s">
        <v>1313</v>
      </c>
      <c r="I7" s="8" t="s">
        <v>793</v>
      </c>
      <c r="J7" s="8"/>
    </row>
    <row r="8">
      <c r="A8" s="9" t="s">
        <v>1314</v>
      </c>
      <c r="B8" s="9" t="s">
        <v>1315</v>
      </c>
      <c r="C8" s="9">
        <v>10.0</v>
      </c>
      <c r="D8" s="10" t="s">
        <v>1316</v>
      </c>
      <c r="E8" s="9" t="s">
        <v>1317</v>
      </c>
      <c r="F8" s="9"/>
      <c r="G8" s="9" t="s">
        <v>54</v>
      </c>
      <c r="H8" s="9"/>
      <c r="I8" s="9" t="s">
        <v>56</v>
      </c>
      <c r="J8" s="9" t="s">
        <v>1318</v>
      </c>
    </row>
    <row r="9">
      <c r="A9" s="9" t="s">
        <v>1319</v>
      </c>
      <c r="B9" s="9" t="s">
        <v>1320</v>
      </c>
      <c r="C9" s="9">
        <v>20.0</v>
      </c>
      <c r="D9" s="10" t="s">
        <v>1321</v>
      </c>
      <c r="E9" s="9" t="s">
        <v>1322</v>
      </c>
      <c r="F9" s="9"/>
      <c r="G9" s="9" t="s">
        <v>54</v>
      </c>
      <c r="H9" s="9"/>
      <c r="I9" s="9" t="s">
        <v>56</v>
      </c>
      <c r="J9" s="9" t="s">
        <v>1323</v>
      </c>
    </row>
    <row r="10">
      <c r="A10" s="9" t="s">
        <v>1324</v>
      </c>
      <c r="B10" s="9" t="s">
        <v>1325</v>
      </c>
      <c r="C10" s="9">
        <v>30.0</v>
      </c>
      <c r="D10" s="10" t="s">
        <v>1326</v>
      </c>
      <c r="E10" s="9" t="s">
        <v>1327</v>
      </c>
      <c r="F10" s="9"/>
      <c r="G10" s="9" t="s">
        <v>54</v>
      </c>
      <c r="H10" s="9"/>
      <c r="I10" s="9" t="s">
        <v>56</v>
      </c>
      <c r="J10" s="9" t="s">
        <v>1328</v>
      </c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2" width="18.0"/>
    <col customWidth="1" min="3" max="3" width="23.0"/>
    <col customWidth="1" min="4" max="4" width="19.0"/>
    <col customWidth="1" min="5" max="5" width="29.0"/>
    <col customWidth="1" min="6" max="6" width="20.0"/>
    <col customWidth="1" min="7" max="8" width="18.0"/>
    <col customWidth="1" min="9" max="9" width="20.0"/>
    <col customWidth="1" min="10" max="10" width="32.0"/>
    <col customWidth="1" min="11" max="11" width="18.0"/>
    <col customWidth="1" min="12" max="14" width="21.0"/>
    <col customWidth="1" min="15" max="16" width="18.0"/>
    <col customWidth="1" min="17" max="17" width="30.0"/>
    <col customWidth="1" min="18" max="18" width="20.0"/>
    <col customWidth="1" min="19" max="19" width="23.0"/>
    <col customWidth="1" min="20" max="20" width="18.0"/>
    <col customWidth="1" min="21" max="26" width="8.71"/>
  </cols>
  <sheetData>
    <row r="1">
      <c r="A1" s="1" t="s">
        <v>1329</v>
      </c>
    </row>
    <row r="2" ht="37.5" customHeight="1">
      <c r="A2" s="3" t="s">
        <v>1330</v>
      </c>
    </row>
    <row r="4">
      <c r="A4" s="4" t="s">
        <v>4</v>
      </c>
      <c r="B4" s="4" t="s">
        <v>5</v>
      </c>
      <c r="C4" s="4" t="s">
        <v>1252</v>
      </c>
      <c r="D4" s="4" t="s">
        <v>1331</v>
      </c>
      <c r="E4" s="4" t="s">
        <v>1332</v>
      </c>
      <c r="F4" s="4" t="s">
        <v>1333</v>
      </c>
      <c r="G4" s="4" t="s">
        <v>1334</v>
      </c>
      <c r="H4" s="4" t="s">
        <v>1335</v>
      </c>
      <c r="I4" s="4" t="s">
        <v>1336</v>
      </c>
      <c r="J4" s="4" t="s">
        <v>1337</v>
      </c>
      <c r="K4" s="4" t="s">
        <v>1338</v>
      </c>
      <c r="L4" s="4" t="s">
        <v>1339</v>
      </c>
      <c r="M4" s="4" t="s">
        <v>1340</v>
      </c>
      <c r="N4" s="4" t="s">
        <v>1341</v>
      </c>
      <c r="O4" s="4" t="s">
        <v>1342</v>
      </c>
      <c r="P4" s="4" t="s">
        <v>1343</v>
      </c>
      <c r="Q4" s="4" t="s">
        <v>1344</v>
      </c>
      <c r="R4" s="4" t="s">
        <v>1345</v>
      </c>
      <c r="S4" s="4" t="s">
        <v>1346</v>
      </c>
      <c r="T4" s="4" t="s">
        <v>1347</v>
      </c>
    </row>
    <row r="5">
      <c r="A5" s="5" t="s">
        <v>75</v>
      </c>
      <c r="B5" s="5" t="s">
        <v>1348</v>
      </c>
      <c r="C5" s="5" t="s">
        <v>1349</v>
      </c>
      <c r="D5" s="5" t="s">
        <v>1350</v>
      </c>
      <c r="E5" s="6" t="s">
        <v>1260</v>
      </c>
      <c r="F5" s="5" t="s">
        <v>1351</v>
      </c>
      <c r="G5" s="5" t="s">
        <v>1352</v>
      </c>
      <c r="H5" s="5" t="s">
        <v>1353</v>
      </c>
      <c r="I5" s="6" t="s">
        <v>1354</v>
      </c>
      <c r="J5" s="6" t="s">
        <v>1355</v>
      </c>
      <c r="K5" s="6" t="s">
        <v>1356</v>
      </c>
      <c r="L5" s="6" t="s">
        <v>1357</v>
      </c>
      <c r="M5" s="6" t="s">
        <v>1358</v>
      </c>
      <c r="N5" s="6" t="s">
        <v>1359</v>
      </c>
      <c r="O5" s="6" t="s">
        <v>1360</v>
      </c>
      <c r="P5" s="6" t="s">
        <v>1361</v>
      </c>
      <c r="Q5" s="6" t="s">
        <v>1362</v>
      </c>
      <c r="R5" s="6" t="s">
        <v>1363</v>
      </c>
      <c r="S5" s="6" t="s">
        <v>1364</v>
      </c>
      <c r="T5" s="6" t="s">
        <v>85</v>
      </c>
    </row>
    <row r="6">
      <c r="A6" s="7" t="s">
        <v>36</v>
      </c>
      <c r="B6" s="7" t="s">
        <v>36</v>
      </c>
      <c r="C6" s="7" t="s">
        <v>36</v>
      </c>
      <c r="D6" s="7" t="s">
        <v>36</v>
      </c>
      <c r="E6" s="7" t="s">
        <v>38</v>
      </c>
      <c r="F6" s="7" t="s">
        <v>36</v>
      </c>
      <c r="G6" s="7" t="s">
        <v>36</v>
      </c>
      <c r="H6" s="7" t="s">
        <v>36</v>
      </c>
      <c r="I6" s="7" t="s">
        <v>38</v>
      </c>
      <c r="J6" s="7" t="s">
        <v>38</v>
      </c>
      <c r="K6" s="7" t="s">
        <v>38</v>
      </c>
      <c r="L6" s="7" t="s">
        <v>38</v>
      </c>
      <c r="M6" s="7" t="s">
        <v>38</v>
      </c>
      <c r="N6" s="7" t="s">
        <v>38</v>
      </c>
      <c r="O6" s="7" t="s">
        <v>38</v>
      </c>
      <c r="P6" s="7" t="s">
        <v>38</v>
      </c>
      <c r="Q6" s="7" t="s">
        <v>38</v>
      </c>
      <c r="R6" s="7" t="s">
        <v>38</v>
      </c>
      <c r="S6" s="7" t="s">
        <v>38</v>
      </c>
      <c r="T6" s="7" t="s">
        <v>38</v>
      </c>
    </row>
    <row r="7" ht="90.0" customHeight="1">
      <c r="A7" s="8" t="s">
        <v>1365</v>
      </c>
      <c r="B7" s="8" t="s">
        <v>1366</v>
      </c>
      <c r="C7" s="8" t="s">
        <v>1367</v>
      </c>
      <c r="D7" s="8" t="s">
        <v>1368</v>
      </c>
      <c r="E7" s="8" t="s">
        <v>1369</v>
      </c>
      <c r="F7" s="8" t="s">
        <v>1370</v>
      </c>
      <c r="G7" s="8" t="s">
        <v>1371</v>
      </c>
      <c r="H7" s="8" t="s">
        <v>1372</v>
      </c>
      <c r="I7" s="8" t="s">
        <v>1373</v>
      </c>
      <c r="J7" s="8" t="s">
        <v>1374</v>
      </c>
      <c r="K7" s="8" t="s">
        <v>1375</v>
      </c>
      <c r="L7" s="8"/>
      <c r="M7" s="8"/>
      <c r="N7" s="8" t="s">
        <v>1376</v>
      </c>
      <c r="O7" s="8"/>
      <c r="P7" s="8"/>
      <c r="Q7" s="8"/>
      <c r="R7" s="8"/>
      <c r="S7" s="8"/>
      <c r="T7" s="8"/>
    </row>
    <row r="8">
      <c r="A8" s="9" t="s">
        <v>1377</v>
      </c>
      <c r="B8" s="9" t="s">
        <v>1378</v>
      </c>
      <c r="C8" s="9" t="s">
        <v>1213</v>
      </c>
      <c r="D8" s="9" t="s">
        <v>1378</v>
      </c>
      <c r="E8" s="9"/>
      <c r="F8" s="9" t="s">
        <v>1379</v>
      </c>
      <c r="G8" s="9" t="s">
        <v>1380</v>
      </c>
      <c r="H8" s="9" t="s">
        <v>1381</v>
      </c>
      <c r="I8" s="9" t="s">
        <v>1382</v>
      </c>
      <c r="J8" s="9" t="s">
        <v>1104</v>
      </c>
      <c r="K8" s="9">
        <v>0.0</v>
      </c>
      <c r="L8" s="9"/>
      <c r="M8" s="9" t="s">
        <v>1383</v>
      </c>
      <c r="N8" s="9"/>
      <c r="O8" s="9" t="s">
        <v>1384</v>
      </c>
      <c r="P8" s="9" t="s">
        <v>1385</v>
      </c>
      <c r="Q8" s="9" t="s">
        <v>1129</v>
      </c>
      <c r="R8" s="9" t="s">
        <v>1386</v>
      </c>
      <c r="S8" s="9" t="s">
        <v>1387</v>
      </c>
      <c r="T8" s="9" t="s">
        <v>1388</v>
      </c>
    </row>
    <row r="9">
      <c r="A9" s="9" t="s">
        <v>1389</v>
      </c>
      <c r="B9" s="9" t="s">
        <v>1390</v>
      </c>
      <c r="C9" s="9" t="s">
        <v>1213</v>
      </c>
      <c r="D9" s="9" t="s">
        <v>1390</v>
      </c>
      <c r="E9" s="9"/>
      <c r="F9" s="9" t="s">
        <v>1379</v>
      </c>
      <c r="G9" s="9" t="s">
        <v>1391</v>
      </c>
      <c r="H9" s="9" t="s">
        <v>1381</v>
      </c>
      <c r="I9" s="9" t="s">
        <v>1392</v>
      </c>
      <c r="J9" s="9" t="s">
        <v>1104</v>
      </c>
      <c r="K9" s="9">
        <v>12.5</v>
      </c>
      <c r="L9" s="9" t="s">
        <v>1393</v>
      </c>
      <c r="M9" s="9" t="s">
        <v>1394</v>
      </c>
      <c r="N9" s="9"/>
      <c r="O9" s="9" t="s">
        <v>1395</v>
      </c>
      <c r="P9" s="9" t="s">
        <v>1396</v>
      </c>
      <c r="Q9" s="9" t="s">
        <v>1129</v>
      </c>
      <c r="R9" s="9" t="s">
        <v>1386</v>
      </c>
      <c r="S9" s="9" t="s">
        <v>1387</v>
      </c>
      <c r="T9" s="9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A2:T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50.0"/>
    <col customWidth="1" min="3" max="26" width="8.71"/>
  </cols>
  <sheetData>
    <row r="1">
      <c r="A1" s="35" t="s">
        <v>1397</v>
      </c>
    </row>
    <row r="3">
      <c r="A3" s="36" t="s">
        <v>1398</v>
      </c>
      <c r="B3" s="37"/>
      <c r="C3" s="37"/>
      <c r="D3" s="38"/>
    </row>
    <row r="4">
      <c r="A4" s="39" t="s">
        <v>1399</v>
      </c>
      <c r="B4" s="39" t="s">
        <v>1400</v>
      </c>
    </row>
    <row r="5">
      <c r="A5" s="11" t="s">
        <v>97</v>
      </c>
      <c r="B5" s="11" t="s">
        <v>1401</v>
      </c>
    </row>
    <row r="6">
      <c r="A6" s="11" t="s">
        <v>105</v>
      </c>
      <c r="B6" s="11" t="s">
        <v>1402</v>
      </c>
    </row>
    <row r="7">
      <c r="A7" s="11" t="s">
        <v>109</v>
      </c>
      <c r="B7" s="11" t="s">
        <v>306</v>
      </c>
    </row>
    <row r="8">
      <c r="A8" s="11" t="s">
        <v>1403</v>
      </c>
      <c r="B8" s="11" t="s">
        <v>316</v>
      </c>
    </row>
    <row r="9">
      <c r="A9" s="11" t="s">
        <v>125</v>
      </c>
      <c r="B9" s="11" t="s">
        <v>331</v>
      </c>
    </row>
    <row r="10">
      <c r="A10" s="11" t="s">
        <v>289</v>
      </c>
      <c r="B10" s="11" t="s">
        <v>1404</v>
      </c>
    </row>
    <row r="11">
      <c r="A11" s="11" t="s">
        <v>133</v>
      </c>
      <c r="B11" s="11" t="s">
        <v>1405</v>
      </c>
    </row>
    <row r="12">
      <c r="A12" s="11" t="s">
        <v>1406</v>
      </c>
      <c r="B12" s="11" t="s">
        <v>1407</v>
      </c>
    </row>
    <row r="13">
      <c r="A13" s="11" t="s">
        <v>138</v>
      </c>
      <c r="B13" s="11" t="s">
        <v>386</v>
      </c>
    </row>
    <row r="14">
      <c r="A14" s="11" t="s">
        <v>1408</v>
      </c>
      <c r="B14" s="11" t="s">
        <v>462</v>
      </c>
    </row>
    <row r="15">
      <c r="A15" s="11" t="s">
        <v>148</v>
      </c>
      <c r="B15" s="11" t="s">
        <v>481</v>
      </c>
    </row>
    <row r="16">
      <c r="A16" s="11" t="s">
        <v>152</v>
      </c>
      <c r="B16" s="11" t="s">
        <v>503</v>
      </c>
    </row>
    <row r="17">
      <c r="A17" s="11" t="s">
        <v>156</v>
      </c>
      <c r="B17" s="11" t="s">
        <v>506</v>
      </c>
    </row>
    <row r="18">
      <c r="A18" s="11" t="s">
        <v>167</v>
      </c>
      <c r="B18" s="11" t="s">
        <v>709</v>
      </c>
    </row>
    <row r="19">
      <c r="A19" s="11" t="s">
        <v>180</v>
      </c>
      <c r="B19" s="11" t="s">
        <v>536</v>
      </c>
    </row>
    <row r="20">
      <c r="A20" s="11" t="s">
        <v>188</v>
      </c>
      <c r="B20" s="11" t="s">
        <v>582</v>
      </c>
    </row>
    <row r="21" ht="15.75" customHeight="1">
      <c r="A21" s="11" t="s">
        <v>172</v>
      </c>
      <c r="B21" s="11" t="s">
        <v>515</v>
      </c>
    </row>
    <row r="22" ht="15.75" customHeight="1">
      <c r="A22" s="11" t="s">
        <v>1409</v>
      </c>
      <c r="B22" s="11" t="s">
        <v>1410</v>
      </c>
    </row>
    <row r="23" ht="15.75" customHeight="1"/>
    <row r="24" ht="15.75" customHeight="1">
      <c r="A24" s="36" t="s">
        <v>1411</v>
      </c>
      <c r="B24" s="37"/>
      <c r="C24" s="37"/>
      <c r="D24" s="38"/>
    </row>
    <row r="25" ht="15.75" customHeight="1">
      <c r="A25" s="39" t="s">
        <v>1399</v>
      </c>
      <c r="B25" s="39" t="s">
        <v>1400</v>
      </c>
    </row>
    <row r="26" ht="15.75" customHeight="1">
      <c r="A26" s="11" t="s">
        <v>157</v>
      </c>
      <c r="B26" s="11" t="s">
        <v>1412</v>
      </c>
    </row>
    <row r="27" ht="15.75" customHeight="1">
      <c r="A27" s="11" t="s">
        <v>168</v>
      </c>
      <c r="B27" s="11" t="s">
        <v>1413</v>
      </c>
    </row>
    <row r="28" ht="15.75" customHeight="1">
      <c r="A28" s="11" t="s">
        <v>173</v>
      </c>
      <c r="B28" s="11" t="s">
        <v>1414</v>
      </c>
    </row>
    <row r="29" ht="15.75" customHeight="1">
      <c r="A29" s="11" t="s">
        <v>181</v>
      </c>
      <c r="B29" s="11" t="s">
        <v>1415</v>
      </c>
    </row>
    <row r="30" ht="15.75" customHeight="1">
      <c r="A30" s="11" t="s">
        <v>1416</v>
      </c>
      <c r="B30" s="11" t="s">
        <v>1417</v>
      </c>
    </row>
    <row r="31" ht="15.75" customHeight="1">
      <c r="A31" s="11" t="s">
        <v>192</v>
      </c>
      <c r="B31" s="11" t="s">
        <v>1418</v>
      </c>
    </row>
    <row r="32" ht="15.75" customHeight="1">
      <c r="A32" s="11" t="s">
        <v>196</v>
      </c>
      <c r="B32" s="11" t="s">
        <v>1419</v>
      </c>
    </row>
    <row r="33" ht="15.75" customHeight="1">
      <c r="A33" s="11" t="s">
        <v>98</v>
      </c>
      <c r="B33" s="11" t="s">
        <v>1420</v>
      </c>
    </row>
    <row r="34" ht="15.75" customHeight="1">
      <c r="A34" s="11" t="s">
        <v>126</v>
      </c>
      <c r="B34" s="11" t="s">
        <v>1421</v>
      </c>
    </row>
    <row r="35" ht="15.75" customHeight="1">
      <c r="A35" s="11" t="s">
        <v>134</v>
      </c>
      <c r="B35" s="11" t="s">
        <v>1422</v>
      </c>
    </row>
    <row r="36" ht="15.75" customHeight="1">
      <c r="A36" s="11" t="s">
        <v>1423</v>
      </c>
      <c r="B36" s="11" t="s">
        <v>1424</v>
      </c>
    </row>
    <row r="37" ht="15.75" customHeight="1">
      <c r="A37" s="11" t="s">
        <v>148</v>
      </c>
      <c r="B37" s="11" t="s">
        <v>481</v>
      </c>
    </row>
    <row r="38" ht="15.75" customHeight="1"/>
    <row r="39" ht="15.75" customHeight="1">
      <c r="A39" s="36" t="s">
        <v>1425</v>
      </c>
      <c r="B39" s="37"/>
      <c r="C39" s="37"/>
      <c r="D39" s="38"/>
    </row>
    <row r="40" ht="15.75" customHeight="1">
      <c r="A40" s="39" t="s">
        <v>1399</v>
      </c>
      <c r="B40" s="39" t="s">
        <v>1400</v>
      </c>
    </row>
    <row r="41" ht="15.75" customHeight="1">
      <c r="A41" s="11" t="s">
        <v>801</v>
      </c>
      <c r="B41" s="11" t="s">
        <v>1426</v>
      </c>
    </row>
    <row r="42" ht="15.75" customHeight="1">
      <c r="A42" s="11" t="s">
        <v>1427</v>
      </c>
      <c r="B42" s="11" t="s">
        <v>1428</v>
      </c>
    </row>
    <row r="43" ht="15.75" customHeight="1">
      <c r="A43" s="11" t="s">
        <v>1429</v>
      </c>
      <c r="B43" s="11" t="s">
        <v>1430</v>
      </c>
    </row>
    <row r="44" ht="15.75" customHeight="1">
      <c r="A44" s="11" t="s">
        <v>818</v>
      </c>
      <c r="B44" s="11" t="s">
        <v>1431</v>
      </c>
    </row>
    <row r="45" ht="15.75" customHeight="1">
      <c r="A45" s="11" t="s">
        <v>813</v>
      </c>
      <c r="B45" s="11" t="s">
        <v>1432</v>
      </c>
    </row>
    <row r="46" ht="15.75" customHeight="1">
      <c r="A46" s="11" t="s">
        <v>1433</v>
      </c>
      <c r="B46" s="11" t="s">
        <v>1434</v>
      </c>
    </row>
    <row r="47" ht="15.75" customHeight="1">
      <c r="A47" s="11" t="s">
        <v>1435</v>
      </c>
      <c r="B47" s="11" t="s">
        <v>1436</v>
      </c>
    </row>
    <row r="48" ht="15.75" customHeight="1">
      <c r="A48" s="11" t="s">
        <v>1437</v>
      </c>
      <c r="B48" s="11" t="s">
        <v>1438</v>
      </c>
    </row>
    <row r="49" ht="15.75" customHeight="1">
      <c r="A49" s="11" t="s">
        <v>1439</v>
      </c>
      <c r="B49" s="11" t="s">
        <v>1440</v>
      </c>
    </row>
    <row r="50" ht="15.75" customHeight="1">
      <c r="A50" s="11" t="s">
        <v>1441</v>
      </c>
      <c r="B50" s="11" t="s">
        <v>1442</v>
      </c>
    </row>
    <row r="51" ht="15.75" customHeight="1"/>
    <row r="52" ht="15.75" customHeight="1">
      <c r="A52" s="36" t="s">
        <v>1443</v>
      </c>
      <c r="B52" s="37"/>
      <c r="C52" s="37"/>
      <c r="D52" s="38"/>
    </row>
    <row r="53" ht="15.75" customHeight="1">
      <c r="A53" s="39" t="s">
        <v>1399</v>
      </c>
      <c r="B53" s="39" t="s">
        <v>1400</v>
      </c>
    </row>
    <row r="54" ht="15.75" customHeight="1">
      <c r="A54" s="11" t="s">
        <v>799</v>
      </c>
      <c r="B54" s="11" t="s">
        <v>1444</v>
      </c>
    </row>
    <row r="55" ht="15.75" customHeight="1">
      <c r="A55" s="11" t="s">
        <v>806</v>
      </c>
      <c r="B55" s="11" t="s">
        <v>1445</v>
      </c>
    </row>
    <row r="56" ht="15.75" customHeight="1">
      <c r="A56" s="11" t="s">
        <v>1231</v>
      </c>
      <c r="B56" s="11" t="s">
        <v>1446</v>
      </c>
    </row>
    <row r="57" ht="15.75" customHeight="1"/>
    <row r="58" ht="15.75" customHeight="1">
      <c r="A58" s="36" t="s">
        <v>1447</v>
      </c>
      <c r="B58" s="37"/>
      <c r="C58" s="37"/>
      <c r="D58" s="38"/>
    </row>
    <row r="59" ht="15.75" customHeight="1">
      <c r="A59" s="39" t="s">
        <v>1399</v>
      </c>
      <c r="B59" s="39" t="s">
        <v>1400</v>
      </c>
    </row>
    <row r="60" ht="15.75" customHeight="1">
      <c r="A60" s="11" t="s">
        <v>800</v>
      </c>
      <c r="B60" s="11" t="s">
        <v>1448</v>
      </c>
    </row>
    <row r="61" ht="15.75" customHeight="1">
      <c r="A61" s="11" t="s">
        <v>1449</v>
      </c>
      <c r="B61" s="11" t="s">
        <v>1450</v>
      </c>
    </row>
    <row r="62" ht="15.75" customHeight="1">
      <c r="A62" s="11" t="s">
        <v>1451</v>
      </c>
      <c r="B62" s="11" t="s">
        <v>1452</v>
      </c>
    </row>
    <row r="63" ht="15.75" customHeight="1">
      <c r="A63" s="11" t="s">
        <v>1453</v>
      </c>
      <c r="B63" s="11" t="s">
        <v>1454</v>
      </c>
    </row>
    <row r="64" ht="15.75" customHeight="1"/>
    <row r="65" ht="15.75" customHeight="1">
      <c r="A65" s="36" t="s">
        <v>1455</v>
      </c>
      <c r="B65" s="37"/>
      <c r="C65" s="37"/>
      <c r="D65" s="38"/>
    </row>
    <row r="66" ht="15.75" customHeight="1">
      <c r="A66" s="39" t="s">
        <v>1399</v>
      </c>
      <c r="B66" s="39" t="s">
        <v>1400</v>
      </c>
    </row>
    <row r="67" ht="15.75" customHeight="1">
      <c r="A67" s="11" t="s">
        <v>799</v>
      </c>
      <c r="B67" s="11" t="s">
        <v>1444</v>
      </c>
    </row>
    <row r="68" ht="15.75" customHeight="1">
      <c r="A68" s="11" t="s">
        <v>806</v>
      </c>
      <c r="B68" s="11" t="s">
        <v>1456</v>
      </c>
    </row>
    <row r="69" ht="15.75" customHeight="1">
      <c r="A69" s="11" t="s">
        <v>865</v>
      </c>
      <c r="B69" s="11" t="s">
        <v>1457</v>
      </c>
    </row>
    <row r="70" ht="15.75" customHeight="1">
      <c r="A70" s="11" t="s">
        <v>869</v>
      </c>
      <c r="B70" s="11" t="s">
        <v>1090</v>
      </c>
    </row>
    <row r="71" ht="15.75" customHeight="1">
      <c r="A71" s="11" t="s">
        <v>873</v>
      </c>
      <c r="B71" s="11" t="s">
        <v>1458</v>
      </c>
    </row>
    <row r="72" ht="15.75" customHeight="1"/>
    <row r="73" ht="15.75" customHeight="1">
      <c r="A73" s="36" t="s">
        <v>1459</v>
      </c>
      <c r="B73" s="37"/>
      <c r="C73" s="37"/>
      <c r="D73" s="38"/>
    </row>
    <row r="74" ht="15.75" customHeight="1">
      <c r="A74" s="39" t="s">
        <v>1399</v>
      </c>
      <c r="B74" s="39" t="s">
        <v>1400</v>
      </c>
    </row>
    <row r="75" ht="15.75" customHeight="1">
      <c r="A75" s="11" t="s">
        <v>1216</v>
      </c>
      <c r="B75" s="11" t="s">
        <v>1460</v>
      </c>
    </row>
    <row r="76" ht="15.75" customHeight="1">
      <c r="A76" s="11" t="s">
        <v>1230</v>
      </c>
      <c r="B76" s="11" t="s">
        <v>1234</v>
      </c>
    </row>
    <row r="77" ht="15.75" customHeight="1">
      <c r="A77" s="11" t="s">
        <v>1461</v>
      </c>
      <c r="B77" s="11" t="s">
        <v>1462</v>
      </c>
    </row>
    <row r="78" ht="15.75" customHeight="1"/>
    <row r="79" ht="15.75" customHeight="1">
      <c r="A79" s="36" t="s">
        <v>1463</v>
      </c>
      <c r="B79" s="37"/>
      <c r="C79" s="37"/>
      <c r="D79" s="38"/>
    </row>
    <row r="80" ht="15.75" customHeight="1">
      <c r="A80" s="39" t="s">
        <v>1399</v>
      </c>
      <c r="B80" s="39" t="s">
        <v>1400</v>
      </c>
    </row>
    <row r="81" ht="15.75" customHeight="1">
      <c r="A81" s="11" t="s">
        <v>1217</v>
      </c>
      <c r="B81" s="11" t="s">
        <v>1464</v>
      </c>
    </row>
    <row r="82" ht="15.75" customHeight="1">
      <c r="A82" s="11" t="s">
        <v>1226</v>
      </c>
      <c r="B82" s="11" t="s">
        <v>1465</v>
      </c>
    </row>
    <row r="83" ht="15.75" customHeight="1">
      <c r="A83" s="11" t="s">
        <v>1231</v>
      </c>
      <c r="B83" s="11" t="s">
        <v>1466</v>
      </c>
    </row>
    <row r="84" ht="15.75" customHeight="1"/>
    <row r="85" ht="15.75" customHeight="1">
      <c r="A85" s="36" t="s">
        <v>1467</v>
      </c>
      <c r="B85" s="37"/>
      <c r="C85" s="37"/>
      <c r="D85" s="38"/>
    </row>
    <row r="86" ht="15.75" customHeight="1">
      <c r="A86" s="39" t="s">
        <v>1399</v>
      </c>
      <c r="B86" s="39" t="s">
        <v>1400</v>
      </c>
    </row>
    <row r="87" ht="15.75" customHeight="1">
      <c r="A87" s="11" t="s">
        <v>1468</v>
      </c>
      <c r="B87" s="11" t="s">
        <v>1469</v>
      </c>
    </row>
    <row r="88" ht="15.75" customHeight="1">
      <c r="A88" s="11" t="s">
        <v>1267</v>
      </c>
      <c r="B88" s="11" t="s">
        <v>1470</v>
      </c>
    </row>
    <row r="89" ht="15.75" customHeight="1">
      <c r="A89" s="11" t="s">
        <v>1269</v>
      </c>
      <c r="B89" s="11" t="s">
        <v>1471</v>
      </c>
    </row>
    <row r="90" ht="15.75" customHeight="1">
      <c r="A90" s="11" t="s">
        <v>1268</v>
      </c>
      <c r="B90" s="11" t="s">
        <v>1472</v>
      </c>
    </row>
    <row r="91" ht="15.75" customHeight="1"/>
    <row r="92" ht="15.75" customHeight="1">
      <c r="A92" s="36" t="s">
        <v>1473</v>
      </c>
      <c r="B92" s="37"/>
      <c r="C92" s="37"/>
      <c r="D92" s="38"/>
    </row>
    <row r="93" ht="15.75" customHeight="1">
      <c r="A93" s="39" t="s">
        <v>1399</v>
      </c>
      <c r="B93" s="39" t="s">
        <v>1400</v>
      </c>
    </row>
    <row r="94" ht="15.75" customHeight="1">
      <c r="A94" s="11" t="s">
        <v>1380</v>
      </c>
      <c r="B94" s="11" t="s">
        <v>1474</v>
      </c>
    </row>
    <row r="95" ht="15.75" customHeight="1">
      <c r="A95" s="11" t="s">
        <v>1391</v>
      </c>
      <c r="B95" s="11" t="s">
        <v>1475</v>
      </c>
    </row>
    <row r="96" ht="15.75" customHeight="1">
      <c r="A96" s="11" t="s">
        <v>1476</v>
      </c>
      <c r="B96" s="11" t="s">
        <v>1477</v>
      </c>
    </row>
    <row r="97" ht="15.75" customHeight="1">
      <c r="A97" s="11" t="s">
        <v>1478</v>
      </c>
      <c r="B97" s="11" t="s">
        <v>1479</v>
      </c>
    </row>
    <row r="98" ht="15.75" customHeight="1">
      <c r="A98" s="11" t="s">
        <v>1480</v>
      </c>
      <c r="B98" s="11" t="s">
        <v>1481</v>
      </c>
    </row>
    <row r="99" ht="15.75" customHeight="1"/>
    <row r="100" ht="15.75" customHeight="1">
      <c r="A100" s="36" t="s">
        <v>1482</v>
      </c>
      <c r="B100" s="37"/>
      <c r="C100" s="37"/>
      <c r="D100" s="38"/>
    </row>
    <row r="101" ht="15.75" customHeight="1">
      <c r="A101" s="39" t="s">
        <v>1399</v>
      </c>
      <c r="B101" s="39" t="s">
        <v>1400</v>
      </c>
    </row>
    <row r="102" ht="15.75" customHeight="1">
      <c r="A102" s="11" t="s">
        <v>1379</v>
      </c>
      <c r="B102" s="11" t="s">
        <v>1483</v>
      </c>
    </row>
    <row r="103" ht="15.75" customHeight="1">
      <c r="A103" s="11" t="s">
        <v>1484</v>
      </c>
      <c r="B103" s="11" t="s">
        <v>1485</v>
      </c>
    </row>
    <row r="104" ht="15.75" customHeight="1">
      <c r="A104" s="11" t="s">
        <v>1486</v>
      </c>
      <c r="B104" s="11" t="s">
        <v>1487</v>
      </c>
    </row>
    <row r="105" ht="15.75" customHeight="1">
      <c r="A105" s="11" t="s">
        <v>1488</v>
      </c>
      <c r="B105" s="11" t="s">
        <v>1489</v>
      </c>
    </row>
    <row r="106" ht="15.75" customHeight="1">
      <c r="A106" s="11" t="s">
        <v>1490</v>
      </c>
      <c r="B106" s="11" t="s">
        <v>1491</v>
      </c>
    </row>
    <row r="107" ht="15.75" customHeight="1">
      <c r="A107" s="11" t="s">
        <v>1492</v>
      </c>
      <c r="B107" s="11" t="s">
        <v>1493</v>
      </c>
    </row>
    <row r="108" ht="15.75" customHeight="1">
      <c r="A108" s="11" t="s">
        <v>1494</v>
      </c>
      <c r="B108" s="11" t="s">
        <v>1495</v>
      </c>
    </row>
    <row r="109" ht="15.75" customHeight="1"/>
    <row r="110" ht="15.75" customHeight="1">
      <c r="A110" s="36" t="s">
        <v>1496</v>
      </c>
      <c r="B110" s="37"/>
      <c r="C110" s="37"/>
      <c r="D110" s="38"/>
    </row>
    <row r="111" ht="15.75" customHeight="1">
      <c r="A111" s="39" t="s">
        <v>1399</v>
      </c>
      <c r="B111" s="39" t="s">
        <v>1400</v>
      </c>
    </row>
    <row r="112" ht="15.75" customHeight="1">
      <c r="A112" s="11" t="s">
        <v>1381</v>
      </c>
      <c r="B112" s="11" t="s">
        <v>1497</v>
      </c>
    </row>
    <row r="113" ht="15.75" customHeight="1">
      <c r="A113" s="11" t="s">
        <v>1498</v>
      </c>
      <c r="B113" s="11" t="s">
        <v>1499</v>
      </c>
    </row>
    <row r="114" ht="15.75" customHeight="1">
      <c r="A114" s="11" t="s">
        <v>1500</v>
      </c>
      <c r="B114" s="11" t="s">
        <v>1501</v>
      </c>
    </row>
    <row r="115" ht="15.75" customHeight="1">
      <c r="A115" s="11" t="s">
        <v>1502</v>
      </c>
      <c r="B115" s="11" t="s">
        <v>1503</v>
      </c>
    </row>
    <row r="116" ht="15.75" customHeight="1"/>
    <row r="117" ht="15.75" customHeight="1">
      <c r="A117" s="36" t="s">
        <v>1504</v>
      </c>
      <c r="B117" s="37"/>
      <c r="C117" s="37"/>
      <c r="D117" s="38"/>
    </row>
    <row r="118" ht="15.75" customHeight="1">
      <c r="A118" s="39" t="s">
        <v>1399</v>
      </c>
      <c r="B118" s="39" t="s">
        <v>1400</v>
      </c>
    </row>
    <row r="119" ht="15.75" customHeight="1">
      <c r="A119" s="11" t="s">
        <v>1505</v>
      </c>
      <c r="B119" s="11" t="s">
        <v>939</v>
      </c>
    </row>
    <row r="120" ht="15.75" customHeight="1">
      <c r="A120" s="11" t="s">
        <v>1506</v>
      </c>
      <c r="B120" s="11" t="s">
        <v>1507</v>
      </c>
    </row>
    <row r="121" ht="15.75" customHeight="1">
      <c r="A121" s="11" t="s">
        <v>1508</v>
      </c>
      <c r="B121" s="11" t="s">
        <v>1509</v>
      </c>
    </row>
    <row r="122" ht="15.75" customHeight="1">
      <c r="A122" s="11" t="s">
        <v>1510</v>
      </c>
      <c r="B122" s="11" t="s">
        <v>1511</v>
      </c>
    </row>
    <row r="123" ht="15.75" customHeight="1">
      <c r="A123" s="11" t="s">
        <v>1512</v>
      </c>
      <c r="B123" s="11" t="s">
        <v>1513</v>
      </c>
    </row>
    <row r="124" ht="15.75" customHeight="1">
      <c r="A124" s="11" t="s">
        <v>1514</v>
      </c>
      <c r="B124" s="11" t="s">
        <v>1515</v>
      </c>
    </row>
    <row r="125" ht="15.75" customHeight="1">
      <c r="A125" s="11" t="s">
        <v>1516</v>
      </c>
      <c r="B125" s="11" t="s">
        <v>1517</v>
      </c>
    </row>
    <row r="126" ht="15.75" customHeight="1">
      <c r="A126" s="11" t="s">
        <v>1518</v>
      </c>
      <c r="B126" s="11" t="s">
        <v>1519</v>
      </c>
    </row>
    <row r="127" ht="15.75" customHeight="1"/>
    <row r="128" ht="15.75" customHeight="1">
      <c r="A128" s="36" t="s">
        <v>1520</v>
      </c>
      <c r="B128" s="37"/>
      <c r="C128" s="37"/>
      <c r="D128" s="38"/>
    </row>
    <row r="129" ht="15.75" customHeight="1">
      <c r="A129" s="39" t="s">
        <v>1399</v>
      </c>
      <c r="B129" s="39" t="s">
        <v>1400</v>
      </c>
    </row>
    <row r="130" ht="15.75" customHeight="1">
      <c r="A130" s="11" t="s">
        <v>1317</v>
      </c>
      <c r="B130" s="11" t="s">
        <v>1521</v>
      </c>
    </row>
    <row r="131" ht="15.75" customHeight="1">
      <c r="A131" s="11" t="s">
        <v>1322</v>
      </c>
      <c r="B131" s="11" t="s">
        <v>1522</v>
      </c>
    </row>
    <row r="132" ht="15.75" customHeight="1">
      <c r="A132" s="11" t="s">
        <v>1327</v>
      </c>
      <c r="B132" s="11" t="s">
        <v>1523</v>
      </c>
    </row>
    <row r="133" ht="15.75" customHeight="1"/>
    <row r="134" ht="15.75" customHeight="1">
      <c r="A134" s="36" t="s">
        <v>1524</v>
      </c>
      <c r="B134" s="37"/>
      <c r="C134" s="37"/>
      <c r="D134" s="38"/>
    </row>
    <row r="135" ht="15.75" customHeight="1">
      <c r="A135" s="39" t="s">
        <v>1399</v>
      </c>
      <c r="B135" s="39" t="s">
        <v>1400</v>
      </c>
    </row>
    <row r="136" ht="15.75" customHeight="1">
      <c r="A136" s="11" t="s">
        <v>1015</v>
      </c>
      <c r="B136" s="11" t="s">
        <v>1525</v>
      </c>
    </row>
    <row r="137" ht="15.75" customHeight="1">
      <c r="A137" s="11" t="s">
        <v>1526</v>
      </c>
      <c r="B137" s="11" t="s">
        <v>1527</v>
      </c>
    </row>
    <row r="138" ht="15.75" customHeight="1">
      <c r="A138" s="11" t="s">
        <v>1528</v>
      </c>
      <c r="B138" s="11" t="s">
        <v>1529</v>
      </c>
    </row>
    <row r="139" ht="15.75" customHeight="1">
      <c r="A139" s="11" t="s">
        <v>1530</v>
      </c>
      <c r="B139" s="11" t="s">
        <v>1531</v>
      </c>
    </row>
    <row r="140" ht="15.75" customHeight="1">
      <c r="A140" s="11" t="s">
        <v>1532</v>
      </c>
      <c r="B140" s="11" t="s">
        <v>1533</v>
      </c>
    </row>
    <row r="141" ht="15.75" customHeight="1">
      <c r="A141" s="11" t="s">
        <v>1534</v>
      </c>
      <c r="B141" s="11" t="s">
        <v>1535</v>
      </c>
    </row>
    <row r="142" ht="15.75" customHeight="1">
      <c r="A142" s="11" t="s">
        <v>1536</v>
      </c>
      <c r="B142" s="11" t="s">
        <v>1537</v>
      </c>
    </row>
    <row r="143" ht="15.75" customHeight="1">
      <c r="A143" s="11" t="s">
        <v>1538</v>
      </c>
      <c r="B143" s="11" t="s">
        <v>1539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D1"/>
    <mergeCell ref="A3:D3"/>
    <mergeCell ref="A24:D24"/>
    <mergeCell ref="A39:D39"/>
    <mergeCell ref="A52:D52"/>
    <mergeCell ref="A58:D58"/>
    <mergeCell ref="A65:D65"/>
    <mergeCell ref="A128:D128"/>
    <mergeCell ref="A134:D134"/>
    <mergeCell ref="A73:D73"/>
    <mergeCell ref="A79:D79"/>
    <mergeCell ref="A85:D85"/>
    <mergeCell ref="A92:D92"/>
    <mergeCell ref="A100:D100"/>
    <mergeCell ref="A110:D110"/>
    <mergeCell ref="A117:D1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2026-05-05T04:11:10Z</dcterms:created>
  <dc:creator>openpyxl</dc:creator>
</cp:coreProperties>
</file>