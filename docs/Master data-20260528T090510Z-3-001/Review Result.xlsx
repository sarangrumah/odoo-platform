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X101 Material Master" sheetId="2" state="visible" r:id="rId2"/>
    <sheet xmlns:r="http://schemas.openxmlformats.org/officeDocument/2006/relationships" name="3. X24DN Retail Sales" sheetId="3" state="visible" r:id="rId3"/>
    <sheet xmlns:r="http://schemas.openxmlformats.org/officeDocument/2006/relationships" name="4. X31 Discount Journal" sheetId="4" state="visible" r:id="rId4"/>
    <sheet xmlns:r="http://schemas.openxmlformats.org/officeDocument/2006/relationships" name="5. X20 &amp; X32P (Skipped)" sheetId="5" state="visible" r:id="rId5"/>
    <sheet xmlns:r="http://schemas.openxmlformats.org/officeDocument/2006/relationships" name="6. Data Statistics" sheetId="6" state="visible" r:id="rId6"/>
    <sheet xmlns:r="http://schemas.openxmlformats.org/officeDocument/2006/relationships" name="7. Clarifications Required" sheetId="7" state="visible" r:id="rId7"/>
    <sheet xmlns:r="http://schemas.openxmlformats.org/officeDocument/2006/relationships" name="8. Tenant Config Proposal" sheetId="8" state="visible" r:id="rId8"/>
    <sheet xmlns:r="http://schemas.openxmlformats.org/officeDocument/2006/relationships" name="9. Migration File List" sheetId="9" state="visible" r:id="rId9"/>
    <sheet xmlns:r="http://schemas.openxmlformats.org/officeDocument/2006/relationships" name="10. Verification 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FFFFFF"/>
      <sz val="11"/>
    </font>
    <font>
      <b val="1"/>
      <color rgb="001F4E78"/>
      <sz val="13"/>
    </font>
    <font>
      <b val="1"/>
      <color rgb="00C00000"/>
      <sz val="13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4" customHeight="1">
      <c r="A1" s="1" t="inlineStr">
        <is>
          <t>Tenant Levi's (PT Era Busana Retailindo) — Data Review &amp; Scope</t>
        </is>
      </c>
    </row>
    <row r="2">
      <c r="A2" s="2" t="inlineStr">
        <is>
          <t>Generated: Phase 1 review deliverable</t>
        </is>
      </c>
    </row>
    <row r="4">
      <c r="A4" s="3" t="inlineStr">
        <is>
          <t>Item</t>
        </is>
      </c>
      <c r="B4" s="3" t="inlineStr">
        <is>
          <t>Keputusan / Status</t>
        </is>
      </c>
    </row>
    <row r="5">
      <c r="A5" s="4" t="inlineStr">
        <is>
          <t>Tenant DB</t>
        </is>
      </c>
      <c r="B5" s="4" t="inlineStr">
        <is>
          <t>era_busana_retailindo</t>
        </is>
      </c>
    </row>
    <row r="6">
      <c r="A6" s="4" t="inlineStr">
        <is>
          <t>Legal entity</t>
        </is>
      </c>
      <c r="B6" s="4" t="inlineStr">
        <is>
          <t>PT Era Busana Retailindo</t>
        </is>
      </c>
    </row>
    <row r="7">
      <c r="A7" s="4" t="inlineStr">
        <is>
          <t>App principal</t>
        </is>
      </c>
      <c r="B7" s="4" t="inlineStr">
        <is>
          <t>XStore Levi's — saat ini one-way report; target FTP file integration</t>
        </is>
      </c>
    </row>
    <row r="8">
      <c r="A8" s="4" t="inlineStr">
        <is>
          <t>Store coverage</t>
        </is>
      </c>
      <c r="B8" s="4" t="inlineStr">
        <is>
          <t>1 toko (14694 / SAP 0020069514 / OLS SCU – TUNJUNGAN PLAZA 3), 1 register</t>
        </is>
      </c>
    </row>
    <row r="9">
      <c r="A9" s="4" t="inlineStr">
        <is>
          <t>Periode data sample</t>
        </is>
      </c>
      <c r="B9" s="4" t="inlineStr">
        <is>
          <t>26 Apr – 11 Mei 2026 (DRY-RUN, bukan go-live cutoff)</t>
        </is>
      </c>
    </row>
    <row r="10">
      <c r="A10" s="4" t="inlineStr">
        <is>
          <t>Modul Odoo aktif (proposal)</t>
        </is>
      </c>
      <c r="B10" s="4" t="inlineStr">
        <is>
          <t>purchase, sale_management, account, l10n_id, l10n_id_efaktur, custom_coretax, custom_pdp_*</t>
        </is>
      </c>
    </row>
    <row r="11">
      <c r="A11" s="4" t="inlineStr">
        <is>
          <t>X24DN Retail Sales</t>
        </is>
      </c>
      <c r="B11" s="4" t="inlineStr">
        <is>
          <t>Masuk Odoo via sale_management (SO/Invoice)</t>
        </is>
      </c>
    </row>
    <row r="12">
      <c r="A12" s="4" t="inlineStr">
        <is>
          <t>X31 Discount Journal</t>
        </is>
      </c>
      <c r="B12" s="4" t="inlineStr">
        <is>
          <t>Detail promo per line dari X24DN; join via TRANSNUM</t>
        </is>
      </c>
    </row>
    <row r="13">
      <c r="A13" s="4" t="inlineStr">
        <is>
          <t>X20 Onhand + X32P Stock Movement</t>
        </is>
      </c>
      <c r="B13" s="4" t="inlineStr">
        <is>
          <t>ABAIKAN untuk saat ini (GR/stock di-handle XStore)</t>
        </is>
      </c>
    </row>
    <row r="14">
      <c r="A14" s="4" t="inlineStr">
        <is>
          <t>X101 Material Master</t>
        </is>
      </c>
      <c r="B14" s="4" t="inlineStr">
        <is>
          <t>Load semua 214,305 row → restruktur ke template + variant + attribute + pricelist</t>
        </is>
      </c>
    </row>
    <row r="15">
      <c r="A15" s="4" t="inlineStr">
        <is>
          <t>Customer master</t>
        </is>
      </c>
      <c r="B15" s="4" t="inlineStr">
        <is>
          <t>Pakai 1 partner generic 'Walk-in Customer' (sampai klarifikasi member)</t>
        </is>
      </c>
    </row>
    <row r="16">
      <c r="A16" s="4" t="inlineStr">
        <is>
          <t>Tax</t>
        </is>
      </c>
      <c r="B16" s="4" t="inlineStr">
        <is>
          <t>PPN 11/12 efektif 11%, gross include tax — konfirmasi: PMK 131 (custom_coretax) atau account.tax standar</t>
        </is>
      </c>
    </row>
    <row r="17">
      <c r="A17" s="4" t="inlineStr">
        <is>
          <t>Encoding</t>
        </is>
      </c>
      <c r="B17" s="4" t="inlineStr">
        <is>
          <t>Pertahankan karakter ® di nama produk; sumber XLSX corrupt � perlu di-fix</t>
        </is>
      </c>
    </row>
    <row r="18">
      <c r="A18" s="4" t="inlineStr">
        <is>
          <t>Admin user</t>
        </is>
      </c>
      <c r="B18" s="4" t="inlineStr">
        <is>
          <t>admin default, DB baru fresh</t>
        </is>
      </c>
    </row>
    <row r="19">
      <c r="A19" s="4" t="inlineStr">
        <is>
          <t>Pajakku ASPP</t>
        </is>
      </c>
      <c r="B19" s="4" t="inlineStr">
        <is>
          <t>Konfirmasi: per-tenant credential atau shared platform</t>
        </is>
      </c>
    </row>
    <row r="20">
      <c r="A20" s="4" t="inlineStr">
        <is>
          <t>Currency precision IDR</t>
        </is>
      </c>
      <c r="B20" s="4" t="inlineStr">
        <is>
          <t>PENDING konfirmasi user (default Odoo decimal=2)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60" customWidth="1" min="4" max="4"/>
    <col width="32" customWidth="1" min="5" max="5"/>
  </cols>
  <sheetData>
    <row r="1">
      <c r="A1" s="5" t="inlineStr">
        <is>
          <t>X101_Material_Master.xlsx — 214,305 baris × 16 kolom</t>
        </is>
      </c>
    </row>
    <row r="3">
      <c r="A3" s="3" t="inlineStr">
        <is>
          <t>#</t>
        </is>
      </c>
      <c r="B3" s="3" t="inlineStr">
        <is>
          <t>Kolom</t>
        </is>
      </c>
      <c r="C3" s="3" t="inlineStr">
        <is>
          <t>Arti</t>
        </is>
      </c>
      <c r="D3" s="3" t="inlineStr">
        <is>
          <t>Statistik / Catatan</t>
        </is>
      </c>
      <c r="E3" s="3" t="inlineStr">
        <is>
          <t>Mapping Odoo (proposal)</t>
        </is>
      </c>
    </row>
    <row r="4">
      <c r="A4" s="4" t="n">
        <v>1</v>
      </c>
      <c r="B4" s="4" t="inlineStr">
        <is>
          <t>PRODUCT CODE</t>
        </is>
      </c>
      <c r="C4" s="4" t="inlineStr">
        <is>
          <t>Kode model/template produk</t>
        </is>
      </c>
      <c r="D4" s="4" t="inlineStr">
        <is>
          <t>14,885 unique. Contoh: 0002E-0031</t>
        </is>
      </c>
      <c r="E4" s="4" t="inlineStr">
        <is>
          <t>product.template.default_code</t>
        </is>
      </c>
    </row>
    <row r="5">
      <c r="A5" s="4" t="n">
        <v>2</v>
      </c>
      <c r="B5" s="4" t="inlineStr">
        <is>
          <t>ITEM DESCRIPTION</t>
        </is>
      </c>
      <c r="C5" s="4" t="inlineStr">
        <is>
          <t>Nama produk</t>
        </is>
      </c>
      <c r="D5" s="4" t="inlineStr">
        <is>
          <t>Mengandung ® (sumber corrupt � perlu replace)</t>
        </is>
      </c>
      <c r="E5" s="4" t="inlineStr">
        <is>
          <t>product.template.name</t>
        </is>
      </c>
    </row>
    <row r="6">
      <c r="A6" s="4" t="n">
        <v>3</v>
      </c>
      <c r="B6" s="4" t="inlineStr">
        <is>
          <t>BRAND</t>
        </is>
      </c>
      <c r="C6" s="4" t="inlineStr">
        <is>
          <t>Brand</t>
        </is>
      </c>
      <c r="D6" s="4" t="inlineStr">
        <is>
          <t>1 distinct: LEVIS</t>
        </is>
      </c>
      <c r="E6" s="4" t="inlineStr">
        <is>
          <t>Tidak digunakan (constant)</t>
        </is>
      </c>
    </row>
    <row r="7">
      <c r="A7" s="4" t="n">
        <v>4</v>
      </c>
      <c r="B7" s="4" t="inlineStr">
        <is>
          <t>CATEGORY</t>
        </is>
      </c>
      <c r="C7" s="4" t="inlineStr">
        <is>
          <t>Top-level kategori</t>
        </is>
      </c>
      <c r="D7" s="4" t="inlineStr">
        <is>
          <t>6 distinct: MENS BOTTOMS (101,511), WOMENS BOTTOMS (50,576), MENS TOPS (32,488), WOMENS TOPS (20,511), MENS ACCESSORIES (5,530), MENS FOOTWEAR (2,143), WOMENS ACCESSORIES (1,546)</t>
        </is>
      </c>
      <c r="E7" s="4" t="inlineStr">
        <is>
          <t>product.category lvl 1</t>
        </is>
      </c>
    </row>
    <row r="8">
      <c r="A8" s="4" t="n">
        <v>5</v>
      </c>
      <c r="B8" s="4" t="inlineStr">
        <is>
          <t>CLASS</t>
        </is>
      </c>
      <c r="C8" s="4" t="inlineStr">
        <is>
          <t>Sub-kategori</t>
        </is>
      </c>
      <c r="D8" s="4" t="inlineStr">
        <is>
          <t>Top: JEANS (131,341), TEES (24,174), WOVEN TOPS (16,088), KHAKIS (9,140), SHORTS (6,687)</t>
        </is>
      </c>
      <c r="E8" s="4" t="inlineStr">
        <is>
          <t>product.category lvl 2</t>
        </is>
      </c>
    </row>
    <row r="9">
      <c r="A9" s="4" t="n">
        <v>6</v>
      </c>
      <c r="B9" s="4" t="inlineStr">
        <is>
          <t>SUBCLASS</t>
        </is>
      </c>
      <c r="C9" s="4" t="inlineStr">
        <is>
          <t>Sub-sub kategori</t>
        </is>
      </c>
      <c r="D9" s="4" t="inlineStr">
        <is>
          <t>TERPOTONG 10 char: REGULAR OR, LOOSE OR B, GRAPHIC TE, WOVEN SHIR, NON GRAPHI, MID LENGTH, BOOTCUT OR — butuh full text</t>
        </is>
      </c>
      <c r="E9" s="4" t="inlineStr">
        <is>
          <t>product.category lvl 3</t>
        </is>
      </c>
    </row>
    <row r="10">
      <c r="A10" s="4" t="n">
        <v>7</v>
      </c>
      <c r="B10" s="4" t="inlineStr">
        <is>
          <t>PRICE LEVEL</t>
        </is>
      </c>
      <c r="C10" s="4" t="inlineStr">
        <is>
          <t>Tier pricelist</t>
        </is>
      </c>
      <c r="D10" s="4" t="inlineStr">
        <is>
          <t>1 distinct: MARKET</t>
        </is>
      </c>
      <c r="E10" s="4" t="inlineStr">
        <is>
          <t>Nama pricelist tunggal 'MARKET'</t>
        </is>
      </c>
    </row>
    <row r="11">
      <c r="A11" s="4" t="n">
        <v>8</v>
      </c>
      <c r="B11" s="4" t="inlineStr">
        <is>
          <t>LEVEL VALUE</t>
        </is>
      </c>
      <c r="C11" s="4" t="inlineStr">
        <is>
          <t>Kode level (?)</t>
        </is>
      </c>
      <c r="D11" s="4" t="inlineStr">
        <is>
          <t>1 distinct: LVAMAID — arti?</t>
        </is>
      </c>
      <c r="E11" s="4" t="inlineStr">
        <is>
          <t>Tidak digunakan (perlu konfirmasi)</t>
        </is>
      </c>
    </row>
    <row r="12">
      <c r="A12" s="4" t="n">
        <v>9</v>
      </c>
      <c r="B12" s="4" t="inlineStr">
        <is>
          <t>PROD SKU</t>
        </is>
      </c>
      <c r="C12" s="4" t="inlineStr">
        <is>
          <t>SKU varian</t>
        </is>
      </c>
      <c r="D12" s="4" t="inlineStr">
        <is>
          <t>159,658 unique, 54,647 BARIS DUPLIKAT. Contoh: 0002E00310L</t>
        </is>
      </c>
      <c r="E12" s="4" t="inlineStr">
        <is>
          <t>product.product.default_code</t>
        </is>
      </c>
    </row>
    <row r="13">
      <c r="A13" s="4" t="n">
        <v>10</v>
      </c>
      <c r="B13" s="4" t="inlineStr">
        <is>
          <t>ITEM SIZE</t>
        </is>
      </c>
      <c r="C13" s="4" t="inlineStr">
        <is>
          <t>Size variant</t>
        </is>
      </c>
      <c r="D13" s="4" t="inlineStr">
        <is>
          <t>Top: 32, 30, 31, 29, 28, 34, M, S, L, 33, 27, 36, XL</t>
        </is>
      </c>
      <c r="E13" s="4" t="inlineStr">
        <is>
          <t>product.attribute 'Size' value</t>
        </is>
      </c>
    </row>
    <row r="14">
      <c r="A14" s="4" t="n">
        <v>11</v>
      </c>
      <c r="B14" s="4" t="inlineStr">
        <is>
          <t>INSEAM</t>
        </is>
      </c>
      <c r="C14" s="4" t="inlineStr">
        <is>
          <t>Inseam (bottoms only)</t>
        </is>
      </c>
      <c r="D14" s="4" t="inlineStr">
        <is>
          <t>72,588 row = '-' (non-bottoms). Sisanya: 32, 30, 34, 29, 28, 36, 31, 33, 27</t>
        </is>
      </c>
      <c r="E14" s="4" t="inlineStr">
        <is>
          <t>product.attribute 'Inseam' value (skip '-')</t>
        </is>
      </c>
    </row>
    <row r="15">
      <c r="A15" s="4" t="n">
        <v>12</v>
      </c>
      <c r="B15" s="4" t="inlineStr">
        <is>
          <t>PROD GTIN</t>
        </is>
      </c>
      <c r="C15" s="4" t="inlineStr">
        <is>
          <t>Barcode EAN-13</t>
        </is>
      </c>
      <c r="D15" s="4" t="inlineStr">
        <is>
          <t>0 row kosong di dataset full</t>
        </is>
      </c>
      <c r="E15" s="4" t="inlineStr">
        <is>
          <t>product.product.barcode (primary)</t>
        </is>
      </c>
    </row>
    <row r="16">
      <c r="A16" s="4" t="n">
        <v>13</v>
      </c>
      <c r="B16" s="4" t="inlineStr">
        <is>
          <t>PROD JAN</t>
        </is>
      </c>
      <c r="C16" s="4" t="inlineStr">
        <is>
          <t>Barcode JAN Jepang</t>
        </is>
      </c>
      <c r="D16" s="4" t="inlineStr">
        <is>
          <t>57,667 kosong (OK, sekunder)</t>
        </is>
      </c>
      <c r="E16" s="4" t="inlineStr">
        <is>
          <t>Optional / ignore</t>
        </is>
      </c>
    </row>
    <row r="17">
      <c r="A17" s="4" t="n">
        <v>14</v>
      </c>
      <c r="B17" s="4" t="inlineStr">
        <is>
          <t>ITEM RETAIL PRICE</t>
        </is>
      </c>
      <c r="C17" s="4" t="inlineStr">
        <is>
          <t>Harga retail include PPN</t>
        </is>
      </c>
      <c r="D17" s="4" t="inlineStr">
        <is>
          <t>Format INTEGER (749900 = Rp 749,900). Tidak ada PRICE per template berbeda (0 produk dengan &gt;1 harga)</t>
        </is>
      </c>
      <c r="E17" s="4" t="inlineStr">
        <is>
          <t>product.template.list_price</t>
        </is>
      </c>
    </row>
    <row r="18">
      <c r="A18" s="4" t="n">
        <v>15</v>
      </c>
      <c r="B18" s="4" t="inlineStr">
        <is>
          <t>PRICE EFFECTIVE FROM</t>
        </is>
      </c>
      <c r="C18" s="4" t="inlineStr">
        <is>
          <t>Tanggal efektif harga</t>
        </is>
      </c>
      <c r="D18" s="4" t="inlineStr">
        <is>
          <t>Datetime. Tidak ada PRICE EFFECTIVE TO → asumsi aktif sampai sekarang</t>
        </is>
      </c>
      <c r="E18" s="4" t="inlineStr">
        <is>
          <t>product.pricelist.item.date_start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35" customWidth="1" min="4" max="4"/>
    <col width="45" customWidth="1" min="5" max="5"/>
  </cols>
  <sheetData>
    <row r="1">
      <c r="A1" s="5" t="inlineStr">
        <is>
          <t>X24DN_Retail_Sales_Detail_Report.xlsx — 945 data + 1 grand total × 59 kolom</t>
        </is>
      </c>
    </row>
    <row r="3">
      <c r="A3" s="3" t="inlineStr">
        <is>
          <t>#</t>
        </is>
      </c>
      <c r="B3" s="3" t="inlineStr">
        <is>
          <t>Group</t>
        </is>
      </c>
      <c r="C3" s="3" t="inlineStr">
        <is>
          <t>Kolom</t>
        </is>
      </c>
      <c r="D3" s="3" t="inlineStr">
        <is>
          <t>Arti</t>
        </is>
      </c>
      <c r="E3" s="3" t="inlineStr">
        <is>
          <t>Catatan / Mapping</t>
        </is>
      </c>
    </row>
    <row r="4">
      <c r="A4" s="4" t="n">
        <v>1</v>
      </c>
      <c r="B4" s="4" t="inlineStr">
        <is>
          <t>Store</t>
        </is>
      </c>
      <c r="C4" s="4" t="inlineStr">
        <is>
          <t>STORE CODE</t>
        </is>
      </c>
      <c r="D4" s="4" t="inlineStr">
        <is>
          <t>Kode toko numerik</t>
        </is>
      </c>
      <c r="E4" s="4" t="inlineStr">
        <is>
          <t>14694 (semua sama)</t>
        </is>
      </c>
    </row>
    <row r="5">
      <c r="A5" s="4" t="n">
        <v>2</v>
      </c>
      <c r="B5" s="4" t="inlineStr">
        <is>
          <t>Store</t>
        </is>
      </c>
      <c r="C5" s="4" t="inlineStr">
        <is>
          <t>SAP STORE CODE</t>
        </is>
      </c>
      <c r="D5" s="4" t="inlineStr">
        <is>
          <t>Kode toko SAP</t>
        </is>
      </c>
      <c r="E5" s="4" t="inlineStr">
        <is>
          <t>0020069514 — untuk mapping ke SAP/principal</t>
        </is>
      </c>
    </row>
    <row r="6">
      <c r="A6" s="4" t="n">
        <v>3</v>
      </c>
      <c r="B6" s="4" t="inlineStr">
        <is>
          <t>Store</t>
        </is>
      </c>
      <c r="C6" s="4" t="inlineStr">
        <is>
          <t>STORE NAME</t>
        </is>
      </c>
      <c r="D6" s="4" t="inlineStr">
        <is>
          <t>Nama toko</t>
        </is>
      </c>
      <c r="E6" s="4" t="inlineStr">
        <is>
          <t>OLS SCU - TUNJUNGAN PLAZA 3</t>
        </is>
      </c>
    </row>
    <row r="7">
      <c r="A7" s="4" t="n">
        <v>4</v>
      </c>
      <c r="B7" s="4" t="inlineStr">
        <is>
          <t>Header</t>
        </is>
      </c>
      <c r="C7" s="4" t="inlineStr">
        <is>
          <t>TRANS DATE</t>
        </is>
      </c>
      <c r="D7" s="4" t="inlineStr">
        <is>
          <t>Tanggal transaksi</t>
        </is>
      </c>
      <c r="E7" s="4" t="inlineStr">
        <is>
          <t>Date only</t>
        </is>
      </c>
    </row>
    <row r="8">
      <c r="A8" s="4" t="n">
        <v>5</v>
      </c>
      <c r="B8" s="4" t="inlineStr">
        <is>
          <t>Header</t>
        </is>
      </c>
      <c r="C8" s="4" t="inlineStr">
        <is>
          <t>REGISTER</t>
        </is>
      </c>
      <c r="D8" s="4" t="inlineStr">
        <is>
          <t>Nomor POS register</t>
        </is>
      </c>
      <c r="E8" s="4" t="inlineStr">
        <is>
          <t>Selalu 1 (1 register)</t>
        </is>
      </c>
    </row>
    <row r="9">
      <c r="A9" s="4" t="n">
        <v>6</v>
      </c>
      <c r="B9" s="4" t="inlineStr">
        <is>
          <t>Header</t>
        </is>
      </c>
      <c r="C9" s="4" t="inlineStr">
        <is>
          <t>TRANSNUM</t>
        </is>
      </c>
      <c r="D9" s="4" t="inlineStr">
        <is>
          <t>Nomor transaksi</t>
        </is>
      </c>
      <c r="E9" s="4" t="inlineStr">
        <is>
          <t>330 unique transaksi di sample → KEY untuk grouping SO</t>
        </is>
      </c>
    </row>
    <row r="10">
      <c r="A10" s="4" t="n">
        <v>7</v>
      </c>
      <c r="B10" s="4" t="inlineStr">
        <is>
          <t>Reversal</t>
        </is>
      </c>
      <c r="C10" s="4" t="inlineStr">
        <is>
          <t>ORIGINAL STORE CODE</t>
        </is>
      </c>
      <c r="D10" s="4" t="inlineStr">
        <is>
          <t>Ref toko transaksi asli (jika void/return)</t>
        </is>
      </c>
      <c r="E10" s="4" t="inlineStr">
        <is>
          <t>None di sample 945</t>
        </is>
      </c>
    </row>
    <row r="11">
      <c r="A11" s="4" t="n">
        <v>8</v>
      </c>
      <c r="B11" s="4" t="inlineStr">
        <is>
          <t>Reversal</t>
        </is>
      </c>
      <c r="C11" s="4" t="inlineStr">
        <is>
          <t>ORIGINAL TRANS SEQ</t>
        </is>
      </c>
      <c r="D11" s="4" t="inlineStr">
        <is>
          <t>Ref transnum asli</t>
        </is>
      </c>
      <c r="E11" s="4" t="inlineStr">
        <is>
          <t>None di sample</t>
        </is>
      </c>
    </row>
    <row r="12">
      <c r="A12" s="4" t="n">
        <v>9</v>
      </c>
      <c r="B12" s="4" t="inlineStr">
        <is>
          <t>Reversal</t>
        </is>
      </c>
      <c r="C12" s="4" t="inlineStr">
        <is>
          <t>ORIGINAL WKSTN ID</t>
        </is>
      </c>
      <c r="D12" s="4" t="inlineStr">
        <is>
          <t>Ref workstation asli</t>
        </is>
      </c>
      <c r="E12" s="4" t="inlineStr">
        <is>
          <t>None di sample</t>
        </is>
      </c>
    </row>
    <row r="13">
      <c r="A13" s="4" t="n">
        <v>10</v>
      </c>
      <c r="B13" s="4" t="inlineStr">
        <is>
          <t>Staff</t>
        </is>
      </c>
      <c r="C13" s="4" t="inlineStr">
        <is>
          <t>STAFF ID</t>
        </is>
      </c>
      <c r="D13" s="4" t="inlineStr">
        <is>
          <t>ID karyawan</t>
        </is>
      </c>
      <c r="E13" s="4" t="inlineStr">
        <is>
          <t>Contoh: 14694001000119 (= store + suffix)</t>
        </is>
      </c>
    </row>
    <row r="14">
      <c r="A14" s="4" t="n">
        <v>11</v>
      </c>
      <c r="B14" s="4" t="inlineStr">
        <is>
          <t>Staff</t>
        </is>
      </c>
      <c r="C14" s="4" t="inlineStr">
        <is>
          <t>STAFF NAME</t>
        </is>
      </c>
      <c r="D14" s="4" t="inlineStr">
        <is>
          <t>Nama karyawan + emp.no</t>
        </is>
      </c>
      <c r="E14" s="4" t="inlineStr">
        <is>
          <t>Contoh: '2125048 RANI LESTARI'</t>
        </is>
      </c>
    </row>
    <row r="15">
      <c r="A15" s="4" t="n">
        <v>12</v>
      </c>
      <c r="B15" s="4" t="inlineStr">
        <is>
          <t>Line</t>
        </is>
      </c>
      <c r="C15" s="4" t="inlineStr">
        <is>
          <t>ITEM TYPE</t>
        </is>
      </c>
      <c r="D15" s="4" t="inlineStr">
        <is>
          <t>Jenis line</t>
        </is>
      </c>
      <c r="E15" s="4" t="inlineStr">
        <is>
          <t>Selalu PRODUCT</t>
        </is>
      </c>
    </row>
    <row r="16">
      <c r="A16" s="4" t="n">
        <v>13</v>
      </c>
      <c r="B16" s="4" t="inlineStr">
        <is>
          <t>Line</t>
        </is>
      </c>
      <c r="C16" s="4" t="inlineStr">
        <is>
          <t>LINE ID</t>
        </is>
      </c>
      <c r="D16" s="4" t="inlineStr">
        <is>
          <t>Urutan line di struk</t>
        </is>
      </c>
      <c r="E16" s="4" t="inlineStr">
        <is>
          <t>Integer</t>
        </is>
      </c>
    </row>
    <row r="17">
      <c r="A17" s="4" t="n">
        <v>14</v>
      </c>
      <c r="B17" s="4" t="inlineStr">
        <is>
          <t>Line</t>
        </is>
      </c>
      <c r="C17" s="4" t="inlineStr">
        <is>
          <t>ITEM CODE</t>
        </is>
      </c>
      <c r="D17" s="4" t="inlineStr">
        <is>
          <t>SKU dari X101</t>
        </is>
      </c>
      <c r="E17" s="4">
        <f> PROD SKU</f>
        <v/>
      </c>
    </row>
    <row r="18">
      <c r="A18" s="4" t="n">
        <v>15</v>
      </c>
      <c r="B18" s="4" t="inlineStr">
        <is>
          <t>Variant</t>
        </is>
      </c>
      <c r="C18" s="4" t="inlineStr">
        <is>
          <t>WAIST</t>
        </is>
      </c>
      <c r="D18" s="4" t="inlineStr">
        <is>
          <t>Waist size</t>
        </is>
      </c>
      <c r="E18" s="4" t="inlineStr">
        <is>
          <t>Untuk bottoms</t>
        </is>
      </c>
    </row>
    <row r="19">
      <c r="A19" s="4" t="n">
        <v>16</v>
      </c>
      <c r="B19" s="4" t="inlineStr">
        <is>
          <t>Variant</t>
        </is>
      </c>
      <c r="C19" s="4" t="inlineStr">
        <is>
          <t>INSEAM</t>
        </is>
      </c>
      <c r="D19" s="4" t="inlineStr">
        <is>
          <t>Inseam</t>
        </is>
      </c>
      <c r="E19" s="4" t="inlineStr">
        <is>
          <t>Untuk bottoms</t>
        </is>
      </c>
    </row>
    <row r="20">
      <c r="A20" s="4" t="n">
        <v>17</v>
      </c>
      <c r="B20" s="4" t="inlineStr">
        <is>
          <t>Item</t>
        </is>
      </c>
      <c r="C20" s="4" t="inlineStr">
        <is>
          <t>ITEM DESCRIPTION</t>
        </is>
      </c>
      <c r="D20" s="4" t="inlineStr">
        <is>
          <t>Nama item</t>
        </is>
      </c>
      <c r="E20" s="4" t="inlineStr">
        <is>
          <t>Konsisten dengan X101 (encoding ®)</t>
        </is>
      </c>
    </row>
    <row r="21">
      <c r="A21" s="4" t="n">
        <v>18</v>
      </c>
      <c r="B21" s="4" t="inlineStr">
        <is>
          <t>Item</t>
        </is>
      </c>
      <c r="C21" s="4" t="inlineStr">
        <is>
          <t>BRAND</t>
        </is>
      </c>
      <c r="D21" s="4" t="inlineStr">
        <is>
          <t>Brand</t>
        </is>
      </c>
      <c r="E21" s="4" t="inlineStr">
        <is>
          <t>LEVIS</t>
        </is>
      </c>
    </row>
    <row r="22">
      <c r="A22" s="4" t="n">
        <v>19</v>
      </c>
      <c r="B22" s="4" t="inlineStr">
        <is>
          <t>Item</t>
        </is>
      </c>
      <c r="C22" s="4" t="inlineStr">
        <is>
          <t>CATEGORY</t>
        </is>
      </c>
      <c r="D22" s="4" t="inlineStr">
        <is>
          <t>Kategori</t>
        </is>
      </c>
      <c r="E22" s="4" t="inlineStr">
        <is>
          <t>Sama X101</t>
        </is>
      </c>
    </row>
    <row r="23">
      <c r="A23" s="4" t="n">
        <v>20</v>
      </c>
      <c r="B23" s="4" t="inlineStr">
        <is>
          <t>Item</t>
        </is>
      </c>
      <c r="C23" s="4" t="inlineStr">
        <is>
          <t>CLASS</t>
        </is>
      </c>
      <c r="D23" s="4" t="inlineStr">
        <is>
          <t>Class</t>
        </is>
      </c>
      <c r="E23" s="4" t="inlineStr">
        <is>
          <t>Sama X101</t>
        </is>
      </c>
    </row>
    <row r="24">
      <c r="A24" s="4" t="n">
        <v>21</v>
      </c>
      <c r="B24" s="4" t="inlineStr">
        <is>
          <t>Item</t>
        </is>
      </c>
      <c r="C24" s="4" t="inlineStr">
        <is>
          <t>SUBCLASS</t>
        </is>
      </c>
      <c r="D24" s="4" t="inlineStr">
        <is>
          <t>Subclass</t>
        </is>
      </c>
      <c r="E24" s="4" t="inlineStr">
        <is>
          <t>Sama X101 (10-char truncate)</t>
        </is>
      </c>
    </row>
    <row r="25">
      <c r="A25" s="4" t="n">
        <v>22</v>
      </c>
      <c r="B25" s="4" t="inlineStr">
        <is>
          <t>Item</t>
        </is>
      </c>
      <c r="C25" s="4" t="inlineStr">
        <is>
          <t>EAN CODE</t>
        </is>
      </c>
      <c r="D25" s="4" t="inlineStr">
        <is>
          <t>Barcode</t>
        </is>
      </c>
      <c r="E25" s="4">
        <f> PROD GTIN</f>
        <v/>
      </c>
    </row>
    <row r="26">
      <c r="A26" s="4" t="n">
        <v>23</v>
      </c>
      <c r="B26" s="4" t="inlineStr">
        <is>
          <t>Pricing</t>
        </is>
      </c>
      <c r="C26" s="4" t="inlineStr">
        <is>
          <t>ITEM RETAIL PRICE</t>
        </is>
      </c>
      <c r="D26" s="4" t="inlineStr">
        <is>
          <t>Harga retail listed</t>
        </is>
      </c>
      <c r="E26" s="4" t="inlineStr">
        <is>
          <t>Sebelum discount</t>
        </is>
      </c>
    </row>
    <row r="27">
      <c r="A27" s="4" t="n">
        <v>24</v>
      </c>
      <c r="B27" s="4" t="inlineStr">
        <is>
          <t>Pricing</t>
        </is>
      </c>
      <c r="C27" s="4" t="inlineStr">
        <is>
          <t>ITEM GROSS PRICE</t>
        </is>
      </c>
      <c r="D27" s="4" t="inlineStr">
        <is>
          <t>Harga jual aktual (inc tax, post-discount)</t>
        </is>
      </c>
      <c r="E27" s="4">
        <f> harga yang dibayar customer per unit</f>
        <v/>
      </c>
    </row>
    <row r="28">
      <c r="A28" s="4" t="n">
        <v>25</v>
      </c>
      <c r="B28" s="4" t="inlineStr">
        <is>
          <t>Pricing</t>
        </is>
      </c>
      <c r="C28" s="4" t="inlineStr">
        <is>
          <t>NET SOLD QUANTITY</t>
        </is>
      </c>
      <c r="D28" s="4" t="inlineStr">
        <is>
          <t>Qty terjual</t>
        </is>
      </c>
      <c r="E28" s="4" t="inlineStr">
        <is>
          <t>Integer; negatif jika return</t>
        </is>
      </c>
    </row>
    <row r="29">
      <c r="A29" s="4" t="n">
        <v>26</v>
      </c>
      <c r="B29" s="4" t="inlineStr">
        <is>
          <t>Pricing</t>
        </is>
      </c>
      <c r="C29" s="4" t="inlineStr">
        <is>
          <t>NET DISCOUNT AMOUNT</t>
        </is>
      </c>
      <c r="D29" s="4" t="inlineStr">
        <is>
          <t>Discount per line</t>
        </is>
      </c>
      <c r="E29" s="4">
        <f> (RETAIL - GROSS) × qty (perlu konfirmasi formula)</f>
        <v/>
      </c>
    </row>
    <row r="30">
      <c r="A30" s="4" t="n">
        <v>27</v>
      </c>
      <c r="B30" s="4" t="inlineStr">
        <is>
          <t>Pricing</t>
        </is>
      </c>
      <c r="C30" s="4" t="inlineStr">
        <is>
          <t>NET SOLD AMOUNT</t>
        </is>
      </c>
      <c r="D30" s="4" t="inlineStr">
        <is>
          <t>Subtotal ex-tax</t>
        </is>
      </c>
      <c r="E30" s="4">
        <f> TOTAL - TAX</f>
        <v/>
      </c>
    </row>
    <row r="31">
      <c r="A31" s="4" t="n">
        <v>28</v>
      </c>
      <c r="B31" s="4" t="inlineStr">
        <is>
          <t>Tax</t>
        </is>
      </c>
      <c r="C31" s="4" t="inlineStr">
        <is>
          <t>TAX RATE</t>
        </is>
      </c>
      <c r="D31" s="4" t="inlineStr">
        <is>
          <t>Tax rate</t>
        </is>
      </c>
      <c r="E31" s="4" t="inlineStr">
        <is>
          <t>0.11 (PPN 11%)</t>
        </is>
      </c>
    </row>
    <row r="32">
      <c r="A32" s="4" t="n">
        <v>29</v>
      </c>
      <c r="B32" s="4" t="inlineStr">
        <is>
          <t>Tax</t>
        </is>
      </c>
      <c r="C32" s="4" t="inlineStr">
        <is>
          <t>TAX AMOUNT</t>
        </is>
      </c>
      <c r="D32" s="4" t="inlineStr">
        <is>
          <t>Nilai PPN</t>
        </is>
      </c>
      <c r="E32" s="4" t="inlineStr">
        <is>
          <t>Sample: 999900 inc → 99090 tax</t>
        </is>
      </c>
    </row>
    <row r="33">
      <c r="A33" s="4" t="n">
        <v>30</v>
      </c>
      <c r="B33" s="4" t="inlineStr">
        <is>
          <t>Tax</t>
        </is>
      </c>
      <c r="C33" s="4" t="inlineStr">
        <is>
          <t>TOTAL AMOUNT</t>
        </is>
      </c>
      <c r="D33" s="4" t="inlineStr">
        <is>
          <t>Total inc tax</t>
        </is>
      </c>
      <c r="E33" s="4">
        <f> GROSS × qty</f>
        <v/>
      </c>
    </row>
    <row r="34">
      <c r="A34" s="4" t="n">
        <v>31</v>
      </c>
      <c r="B34" s="4" t="inlineStr">
        <is>
          <t>Discount 1</t>
        </is>
      </c>
      <c r="C34" s="4" t="inlineStr">
        <is>
          <t>DISCOUNT TYPE 1</t>
        </is>
      </c>
      <c r="D34" s="4" t="inlineStr">
        <is>
          <t>Tipe diskon slot 1</t>
        </is>
      </c>
      <c r="E34" s="4" t="inlineStr">
        <is>
          <t>SEMUA None di sample 945 — promo asli ada di X31</t>
        </is>
      </c>
    </row>
    <row r="35">
      <c r="A35" s="4" t="n">
        <v>32</v>
      </c>
      <c r="B35" s="4" t="inlineStr">
        <is>
          <t>Discount 1</t>
        </is>
      </c>
      <c r="C35" s="4" t="inlineStr">
        <is>
          <t>DISCOUNT CODE 1</t>
        </is>
      </c>
      <c r="D35" s="4" t="inlineStr">
        <is>
          <t>Kode diskon slot 1</t>
        </is>
      </c>
      <c r="E35" s="4" t="inlineStr">
        <is>
          <t>None</t>
        </is>
      </c>
    </row>
    <row r="36">
      <c r="A36" s="4" t="n">
        <v>33</v>
      </c>
      <c r="B36" s="4" t="inlineStr">
        <is>
          <t>Discount 1</t>
        </is>
      </c>
      <c r="C36" s="4" t="inlineStr">
        <is>
          <t>DISCOUNT DESCRIPTION 1</t>
        </is>
      </c>
      <c r="D36" s="4" t="inlineStr">
        <is>
          <t>Deskripsi slot 1</t>
        </is>
      </c>
      <c r="E36" s="4" t="inlineStr">
        <is>
          <t>None</t>
        </is>
      </c>
    </row>
    <row r="37">
      <c r="A37" s="4" t="n">
        <v>34</v>
      </c>
      <c r="B37" s="4" t="inlineStr">
        <is>
          <t>Discount 1</t>
        </is>
      </c>
      <c r="C37" s="4" t="inlineStr">
        <is>
          <t>DISCOUNT AMOUNT 1</t>
        </is>
      </c>
      <c r="D37" s="4" t="inlineStr">
        <is>
          <t>Nilai diskon slot 1</t>
        </is>
      </c>
      <c r="E37" s="4" t="inlineStr">
        <is>
          <t>None</t>
        </is>
      </c>
    </row>
    <row r="38">
      <c r="A38" s="4" t="n">
        <v>35</v>
      </c>
      <c r="B38" s="4" t="inlineStr">
        <is>
          <t>Discount 1</t>
        </is>
      </c>
      <c r="C38" s="4" t="inlineStr">
        <is>
          <t>DISCOUNT PERCENTAGE 1</t>
        </is>
      </c>
      <c r="D38" s="4" t="inlineStr">
        <is>
          <t>% diskon slot 1</t>
        </is>
      </c>
      <c r="E38" s="4" t="inlineStr">
        <is>
          <t>None</t>
        </is>
      </c>
    </row>
    <row r="39">
      <c r="A39" s="4" t="n">
        <v>36</v>
      </c>
      <c r="B39" s="4" t="inlineStr">
        <is>
          <t>Discount 2</t>
        </is>
      </c>
      <c r="C39" s="4" t="inlineStr">
        <is>
          <t>DISCOUNT TYPE/CODE/DESC/AMOUNT/PERCENTAGE 2</t>
        </is>
      </c>
      <c r="D39" s="4" t="inlineStr">
        <is>
          <t>Slot diskon kedua</t>
        </is>
      </c>
      <c r="E39" s="4" t="inlineStr">
        <is>
          <t>Semua None di sample</t>
        </is>
      </c>
    </row>
    <row r="40">
      <c r="A40" s="4" t="n">
        <v>37</v>
      </c>
      <c r="B40" s="4" t="inlineStr">
        <is>
          <t>Discount 3</t>
        </is>
      </c>
      <c r="C40" s="4" t="inlineStr">
        <is>
          <t>DISCOUNT TYPE/CODE/DESC/AMOUNT/PERCENTAGE 3</t>
        </is>
      </c>
      <c r="D40" s="4" t="inlineStr">
        <is>
          <t>Slot diskon ketiga</t>
        </is>
      </c>
      <c r="E40" s="4" t="inlineStr">
        <is>
          <t>Semua None</t>
        </is>
      </c>
    </row>
    <row r="41">
      <c r="A41" s="4" t="n">
        <v>38</v>
      </c>
      <c r="B41" s="4" t="inlineStr">
        <is>
          <t>Discount 4</t>
        </is>
      </c>
      <c r="C41" s="4" t="inlineStr">
        <is>
          <t>DISCOUNT TYPE/CODE/DESC/AMOUNT/PERCENTAGE 4</t>
        </is>
      </c>
      <c r="D41" s="4" t="inlineStr">
        <is>
          <t>Slot diskon keempat</t>
        </is>
      </c>
      <c r="E41" s="4" t="inlineStr">
        <is>
          <t>Semua None</t>
        </is>
      </c>
    </row>
    <row r="42">
      <c r="A42" s="4" t="n">
        <v>39</v>
      </c>
      <c r="B42" s="4" t="inlineStr">
        <is>
          <t>Notes</t>
        </is>
      </c>
      <c r="C42" s="4" t="inlineStr">
        <is>
          <t>LINE ITEM -COMMENTS</t>
        </is>
      </c>
      <c r="D42" s="4" t="inlineStr">
        <is>
          <t>Komentar line</t>
        </is>
      </c>
      <c r="E42" s="4" t="inlineStr">
        <is>
          <t>Beberapa berisi string ID seperti '012861-012860-012859'</t>
        </is>
      </c>
    </row>
    <row r="43">
      <c r="A43" s="4" t="n">
        <v>40</v>
      </c>
      <c r="B43" s="4" t="inlineStr">
        <is>
          <t>Notes</t>
        </is>
      </c>
      <c r="C43" s="4" t="inlineStr">
        <is>
          <t>TRANSACTION NOTES</t>
        </is>
      </c>
      <c r="D43" s="4" t="inlineStr">
        <is>
          <t>Catatan transaksi</t>
        </is>
      </c>
      <c r="E43" s="4" t="inlineStr">
        <is>
          <t>Mostly null</t>
        </is>
      </c>
    </row>
    <row r="44">
      <c r="A44" s="4" t="n">
        <v>41</v>
      </c>
      <c r="B44" s="4" t="inlineStr">
        <is>
          <t>Notes</t>
        </is>
      </c>
      <c r="C44" s="4" t="inlineStr">
        <is>
          <t>RACE</t>
        </is>
      </c>
      <c r="D44" s="4" t="inlineStr">
        <is>
          <t>Etnis customer</t>
        </is>
      </c>
      <c r="E44" s="4" t="inlineStr">
        <is>
          <t>Semua null — field untuk pasar lain?</t>
        </is>
      </c>
    </row>
    <row r="45">
      <c r="A45" s="4" t="n">
        <v>42</v>
      </c>
      <c r="B45" s="4" t="inlineStr">
        <is>
          <t>Notes</t>
        </is>
      </c>
      <c r="C45" s="4" t="inlineStr">
        <is>
          <t>SURVEY CUSTOMER TH</t>
        </is>
      </c>
      <c r="D45" s="4" t="inlineStr">
        <is>
          <t>Survey field (TH = Thailand?)</t>
        </is>
      </c>
      <c r="E45" s="4" t="inlineStr">
        <is>
          <t>Null — bisa di-ignore di ID</t>
        </is>
      </c>
    </row>
    <row r="46">
      <c r="A46" s="4" t="n">
        <v>43</v>
      </c>
      <c r="B46" s="4" t="inlineStr">
        <is>
          <t>Notes</t>
        </is>
      </c>
      <c r="C46" s="4" t="inlineStr">
        <is>
          <t>TYPE OF SALE TH</t>
        </is>
      </c>
      <c r="D46" s="4" t="inlineStr">
        <is>
          <t>Type of sale (TH = Thailand?)</t>
        </is>
      </c>
      <c r="E46" s="4" t="inlineStr">
        <is>
          <t>Null — bisa di-ignore</t>
        </is>
      </c>
    </row>
    <row r="47">
      <c r="A47" s="4" t="n">
        <v>44</v>
      </c>
      <c r="B47" s="4" t="inlineStr">
        <is>
          <t>Member</t>
        </is>
      </c>
      <c r="C47" s="4" t="inlineStr">
        <is>
          <t>ALTERNATE ID/MEMBER ID</t>
        </is>
      </c>
      <c r="D47" s="4" t="inlineStr">
        <is>
          <t>ID member loyalty</t>
        </is>
      </c>
      <c r="E47" s="4" t="inlineStr">
        <is>
          <t>Contoh: 6281259849001 (phone number-like)</t>
        </is>
      </c>
    </row>
    <row r="48">
      <c r="A48" s="4" t="n">
        <v>45</v>
      </c>
      <c r="B48" s="4" t="inlineStr">
        <is>
          <t>Member</t>
        </is>
      </c>
      <c r="C48" s="4" t="inlineStr">
        <is>
          <t>MEMBER TYPE</t>
        </is>
      </c>
      <c r="D48" s="4" t="inlineStr">
        <is>
          <t>Tipe member</t>
        </is>
      </c>
      <c r="E48" s="4" t="inlineStr">
        <is>
          <t>STAMPS_ID di 892 row, None di 53 (walk-in)</t>
        </is>
      </c>
    </row>
    <row r="49">
      <c r="A49" s="4" t="n">
        <v>46</v>
      </c>
      <c r="B49" s="4" t="inlineStr">
        <is>
          <t>Member</t>
        </is>
      </c>
      <c r="C49" s="4" t="inlineStr">
        <is>
          <t>TELEPHONE NUMBER</t>
        </is>
      </c>
      <c r="D49" s="4" t="inlineStr">
        <is>
          <t>No HP customer</t>
        </is>
      </c>
      <c r="E49" s="4" t="inlineStr">
        <is>
          <t>Sama dengan member ID di sample (PDP masking required)</t>
        </is>
      </c>
    </row>
    <row r="50">
      <c r="A50" s="4" t="n">
        <v>47</v>
      </c>
      <c r="B50" s="4" t="inlineStr">
        <is>
          <t>Member</t>
        </is>
      </c>
      <c r="C50" s="4" t="inlineStr">
        <is>
          <t>Omni Order Id</t>
        </is>
      </c>
      <c r="D50" s="4" t="inlineStr">
        <is>
          <t>Reference omni-channel order</t>
        </is>
      </c>
      <c r="E50" s="4" t="inlineStr">
        <is>
          <t>None di sample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50" customWidth="1" min="4" max="4"/>
  </cols>
  <sheetData>
    <row r="1">
      <c r="A1" s="5" t="inlineStr">
        <is>
          <t>X31_Discount_Journal.xlsx — 33 data rows × 25 kolom (header di row 8)</t>
        </is>
      </c>
    </row>
    <row r="2">
      <c r="A2" s="2" t="inlineStr">
        <is>
          <t>Periode: 26 Apr – 11 Mei 2026 | Promo unique: 4 kode (LPAID1117 CRM-VIP, PPA Telkomsel, LPAID1706 Birthday, LPAID2307 Retention)</t>
        </is>
      </c>
    </row>
    <row r="4">
      <c r="A4" s="3" t="inlineStr">
        <is>
          <t>#</t>
        </is>
      </c>
      <c r="B4" s="3" t="inlineStr">
        <is>
          <t>Kolom</t>
        </is>
      </c>
      <c r="C4" s="3" t="inlineStr">
        <is>
          <t>Arti</t>
        </is>
      </c>
      <c r="D4" s="3" t="inlineStr">
        <is>
          <t>Catatan</t>
        </is>
      </c>
    </row>
    <row r="5">
      <c r="A5" s="4" t="n">
        <v>1</v>
      </c>
      <c r="B5" s="4" t="inlineStr">
        <is>
          <t>STORE CODE</t>
        </is>
      </c>
      <c r="C5" s="4" t="inlineStr">
        <is>
          <t>Kode toko</t>
        </is>
      </c>
      <c r="D5" s="4" t="inlineStr">
        <is>
          <t>14694</t>
        </is>
      </c>
    </row>
    <row r="6">
      <c r="A6" s="4" t="n">
        <v>2</v>
      </c>
      <c r="B6" s="4" t="inlineStr">
        <is>
          <t>SAP STORE CODE</t>
        </is>
      </c>
      <c r="C6" s="4" t="inlineStr">
        <is>
          <t>SAP store</t>
        </is>
      </c>
      <c r="D6" s="4" t="inlineStr">
        <is>
          <t>0020069514</t>
        </is>
      </c>
    </row>
    <row r="7">
      <c r="A7" s="4" t="n">
        <v>3</v>
      </c>
      <c r="B7" s="4" t="inlineStr">
        <is>
          <t>STORE NAME</t>
        </is>
      </c>
      <c r="C7" s="4" t="inlineStr">
        <is>
          <t>Nama toko</t>
        </is>
      </c>
      <c r="D7" s="4" t="inlineStr">
        <is>
          <t>OLS SCU - TP3</t>
        </is>
      </c>
    </row>
    <row r="8">
      <c r="A8" s="4" t="n">
        <v>4</v>
      </c>
      <c r="B8" s="4" t="inlineStr">
        <is>
          <t>TRANSNUM</t>
        </is>
      </c>
      <c r="C8" s="4" t="inlineStr">
        <is>
          <t>Nomor transaksi</t>
        </is>
      </c>
      <c r="D8" s="4" t="inlineStr">
        <is>
          <t>KUNCI JOIN ke X24DN.TRANSNUM</t>
        </is>
      </c>
    </row>
    <row r="9">
      <c r="A9" s="4" t="n">
        <v>5</v>
      </c>
      <c r="B9" s="4" t="inlineStr">
        <is>
          <t>TRANS DATE</t>
        </is>
      </c>
      <c r="C9" s="4" t="inlineStr">
        <is>
          <t>Tanggal</t>
        </is>
      </c>
      <c r="D9" s="4" t="inlineStr"/>
    </row>
    <row r="10">
      <c r="A10" s="4" t="n">
        <v>6</v>
      </c>
      <c r="B10" s="4" t="inlineStr">
        <is>
          <t>TRANS TIME</t>
        </is>
      </c>
      <c r="C10" s="4" t="inlineStr">
        <is>
          <t>Jam transaksi</t>
        </is>
      </c>
      <c r="D10" s="4" t="inlineStr">
        <is>
          <t>HH:MM:SS</t>
        </is>
      </c>
    </row>
    <row r="11">
      <c r="A11" s="4" t="n">
        <v>7</v>
      </c>
      <c r="B11" s="4" t="inlineStr">
        <is>
          <t>DISCOUNT ID</t>
        </is>
      </c>
      <c r="C11" s="4" t="inlineStr">
        <is>
          <t>ID promo</t>
        </is>
      </c>
      <c r="D11" s="4" t="inlineStr">
        <is>
          <t>Contoh: LPAID1117, 14323:104721:PPA:TR150</t>
        </is>
      </c>
    </row>
    <row r="12">
      <c r="A12" s="4" t="n">
        <v>8</v>
      </c>
      <c r="B12" s="4" t="inlineStr">
        <is>
          <t>DISCOUNT CODE</t>
        </is>
      </c>
      <c r="C12" s="4" t="inlineStr">
        <is>
          <t>Kode promo</t>
        </is>
      </c>
      <c r="D12" s="4" t="inlineStr">
        <is>
          <t>Kadang sama dengan DISCOUNT ID, kadang beda — semantics perlu klarifikasi</t>
        </is>
      </c>
    </row>
    <row r="13">
      <c r="A13" s="4" t="n">
        <v>9</v>
      </c>
      <c r="B13" s="4" t="inlineStr">
        <is>
          <t>DISCOUNT DESCRIPTION</t>
        </is>
      </c>
      <c r="C13" s="4" t="inlineStr">
        <is>
          <t>Deskripsi promo</t>
        </is>
      </c>
      <c r="D13" s="4" t="inlineStr">
        <is>
          <t>Contoh: 'CRM-VIP DISCOUNT', 'ID-PPA-Telkomsel Redemption V150K-Feb-May 2026'</t>
        </is>
      </c>
    </row>
    <row r="14">
      <c r="A14" s="4" t="n">
        <v>10</v>
      </c>
      <c r="B14" s="4" t="inlineStr">
        <is>
          <t>BRAND</t>
        </is>
      </c>
      <c r="C14" s="4" t="inlineStr">
        <is>
          <t>Brand</t>
        </is>
      </c>
      <c r="D14" s="4" t="inlineStr">
        <is>
          <t>LEVIS</t>
        </is>
      </c>
    </row>
    <row r="15">
      <c r="A15" s="4" t="n">
        <v>11</v>
      </c>
      <c r="B15" s="4" t="inlineStr">
        <is>
          <t>CATEGORY</t>
        </is>
      </c>
      <c r="C15" s="4" t="inlineStr">
        <is>
          <t>Kategori</t>
        </is>
      </c>
      <c r="D15" s="4" t="inlineStr">
        <is>
          <t>Sama X101</t>
        </is>
      </c>
    </row>
    <row r="16">
      <c r="A16" s="4" t="n">
        <v>12</v>
      </c>
      <c r="B16" s="4" t="inlineStr">
        <is>
          <t>CLASS</t>
        </is>
      </c>
      <c r="C16" s="4" t="inlineStr">
        <is>
          <t>Class</t>
        </is>
      </c>
      <c r="D16" s="4" t="inlineStr">
        <is>
          <t>Sama X101</t>
        </is>
      </c>
    </row>
    <row r="17">
      <c r="A17" s="4" t="n">
        <v>13</v>
      </c>
      <c r="B17" s="4" t="inlineStr">
        <is>
          <t>SUBCLASS</t>
        </is>
      </c>
      <c r="C17" s="4" t="inlineStr">
        <is>
          <t>Subclass</t>
        </is>
      </c>
      <c r="D17" s="4" t="inlineStr">
        <is>
          <t>Sama X101</t>
        </is>
      </c>
    </row>
    <row r="18">
      <c r="A18" s="4" t="n">
        <v>14</v>
      </c>
      <c r="B18" s="4" t="inlineStr">
        <is>
          <t>PRODUCT CODE</t>
        </is>
      </c>
      <c r="C18" s="4" t="inlineStr">
        <is>
          <t>Kode template</t>
        </is>
      </c>
      <c r="D18" s="4">
        <f> X101.PRODUCT CODE</f>
        <v/>
      </c>
    </row>
    <row r="19">
      <c r="A19" s="4" t="n">
        <v>15</v>
      </c>
      <c r="B19" s="4" t="inlineStr">
        <is>
          <t>ITEM DESCRIPTION</t>
        </is>
      </c>
      <c r="C19" s="4" t="inlineStr">
        <is>
          <t>Nama item</t>
        </is>
      </c>
      <c r="D19" s="4" t="inlineStr">
        <is>
          <t>Konsisten X101</t>
        </is>
      </c>
    </row>
    <row r="20">
      <c r="A20" s="4" t="n">
        <v>16</v>
      </c>
      <c r="B20" s="4" t="inlineStr">
        <is>
          <t>PRODUCT SCANNED</t>
        </is>
      </c>
      <c r="C20" s="4" t="inlineStr">
        <is>
          <t>Barcode di-scan</t>
        </is>
      </c>
      <c r="D20" s="4">
        <f> EAN / GTIN</f>
        <v/>
      </c>
    </row>
    <row r="21">
      <c r="A21" s="4" t="n">
        <v>17</v>
      </c>
      <c r="B21" s="4" t="inlineStr">
        <is>
          <t>WAIST</t>
        </is>
      </c>
      <c r="C21" s="4" t="inlineStr">
        <is>
          <t>Waist</t>
        </is>
      </c>
      <c r="D21" s="4" t="inlineStr">
        <is>
          <t>Untuk bottoms</t>
        </is>
      </c>
    </row>
    <row r="22">
      <c r="A22" s="4" t="n">
        <v>18</v>
      </c>
      <c r="B22" s="4" t="inlineStr">
        <is>
          <t>INSEAM</t>
        </is>
      </c>
      <c r="C22" s="4" t="inlineStr">
        <is>
          <t>Inseam</t>
        </is>
      </c>
      <c r="D22" s="4" t="inlineStr">
        <is>
          <t>Untuk bottoms</t>
        </is>
      </c>
    </row>
    <row r="23">
      <c r="A23" s="4" t="n">
        <v>19</v>
      </c>
      <c r="B23" s="4" t="inlineStr">
        <is>
          <t>NET SOLD QUANTITY</t>
        </is>
      </c>
      <c r="C23" s="4" t="inlineStr">
        <is>
          <t>Qty di-discount</t>
        </is>
      </c>
      <c r="D23" s="4" t="inlineStr">
        <is>
          <t>Integer</t>
        </is>
      </c>
    </row>
    <row r="24">
      <c r="A24" s="4" t="n">
        <v>20</v>
      </c>
      <c r="B24" s="4" t="inlineStr">
        <is>
          <t>ITEM GROSS PRICE</t>
        </is>
      </c>
      <c r="C24" s="4" t="inlineStr">
        <is>
          <t>Harga gross sebelum promo X31</t>
        </is>
      </c>
      <c r="D24" s="4" t="inlineStr">
        <is>
          <t>Inc tax</t>
        </is>
      </c>
    </row>
    <row r="25">
      <c r="A25" s="4" t="n">
        <v>21</v>
      </c>
      <c r="B25" s="4" t="inlineStr">
        <is>
          <t>NET SOLD AMOUNT</t>
        </is>
      </c>
      <c r="C25" s="4" t="inlineStr">
        <is>
          <t>Harga setelah discount</t>
        </is>
      </c>
      <c r="D25" s="4" t="inlineStr">
        <is>
          <t>Inc tax</t>
        </is>
      </c>
    </row>
    <row r="26">
      <c r="A26" s="4" t="n">
        <v>22</v>
      </c>
      <c r="B26" s="4" t="inlineStr">
        <is>
          <t>DISCOUNT AMOUNT</t>
        </is>
      </c>
      <c r="C26" s="4" t="inlineStr">
        <is>
          <t>Nilai potongan</t>
        </is>
      </c>
      <c r="D26" s="4">
        <f> GROSS - NET SOLD</f>
        <v/>
      </c>
    </row>
    <row r="27">
      <c r="A27" s="4" t="n">
        <v>23</v>
      </c>
      <c r="B27" s="4" t="inlineStr">
        <is>
          <t>PERCENT DISCOUNT</t>
        </is>
      </c>
      <c r="C27" s="4" t="inlineStr">
        <is>
          <t>% potongan</t>
        </is>
      </c>
      <c r="D27" s="4" t="inlineStr">
        <is>
          <t>String dengan spasi prefix, contoh '  29.55'</t>
        </is>
      </c>
    </row>
    <row r="28">
      <c r="A28" s="4" t="n">
        <v>24</v>
      </c>
      <c r="B28" s="4" t="inlineStr">
        <is>
          <t>NOTE</t>
        </is>
      </c>
      <c r="C28" s="4" t="inlineStr">
        <is>
          <t>Catatan staff</t>
        </is>
      </c>
      <c r="D28" s="4" t="inlineStr">
        <is>
          <t>Contoh: STAFF ID '14694001000127'</t>
        </is>
      </c>
    </row>
    <row r="29">
      <c r="A29" s="4" t="n">
        <v>25</v>
      </c>
      <c r="B29" s="4" t="inlineStr">
        <is>
          <t>STAFF ID + timestamp</t>
        </is>
      </c>
      <c r="C29" s="4" t="inlineStr">
        <is>
          <t>Kolom 24-25?</t>
        </is>
      </c>
      <c r="D29" s="4" t="inlineStr">
        <is>
          <t>Sample tampilkan staff name '2123110 RYMA NURGHAIDA' + datetime — kemungkinan 2 kolom terpisah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55" customWidth="1" min="3" max="3"/>
  </cols>
  <sheetData>
    <row r="1">
      <c r="A1" s="6" t="inlineStr">
        <is>
          <t>X20 Onhand Inventory + X32P Stock Movement — SKIPPED untuk dry-run</t>
        </is>
      </c>
    </row>
    <row r="2">
      <c r="A2" s="2" t="inlineStr">
        <is>
          <t>Alasan: GR &amp; inventory di-handle XStore (app principal). File ini hanya reference.</t>
        </is>
      </c>
    </row>
    <row r="4">
      <c r="A4" s="7" t="inlineStr">
        <is>
          <t>X20_Current_Onhand_Inventory_Report.csv</t>
        </is>
      </c>
    </row>
    <row r="5">
      <c r="A5" s="3" t="inlineStr">
        <is>
          <t>Kolom</t>
        </is>
      </c>
      <c r="B5" s="3" t="inlineStr">
        <is>
          <t>Arti</t>
        </is>
      </c>
      <c r="C5" s="3" t="inlineStr">
        <is>
          <t>Catatan</t>
        </is>
      </c>
    </row>
    <row r="6">
      <c r="A6" s="4" t="inlineStr">
        <is>
          <t>STORE CODE / SAP STORE CODE / STORE NAME</t>
        </is>
      </c>
      <c r="B6" s="4" t="inlineStr">
        <is>
          <t>Identitas toko</t>
        </is>
      </c>
      <c r="C6" s="4" t="inlineStr">
        <is>
          <t>14694 / 0020069514 / OLS SCU TP3</t>
        </is>
      </c>
    </row>
    <row r="7">
      <c r="A7" s="4" t="inlineStr">
        <is>
          <t>ITEM ID</t>
        </is>
      </c>
      <c r="B7" s="4" t="inlineStr">
        <is>
          <t>SKU</t>
        </is>
      </c>
      <c r="C7" s="4">
        <f> X101.PROD SKU</f>
        <v/>
      </c>
    </row>
    <row r="8">
      <c r="A8" s="4" t="inlineStr">
        <is>
          <t>WAIST / INSEAM</t>
        </is>
      </c>
      <c r="B8" s="4" t="inlineStr">
        <is>
          <t>Variant</t>
        </is>
      </c>
      <c r="C8" s="4" t="inlineStr"/>
    </row>
    <row r="9">
      <c r="A9" s="4" t="inlineStr">
        <is>
          <t>ITEM DESCRIPTION / EAN / BRAND / CATEGORY / CLASS / SUBCLASS</t>
        </is>
      </c>
      <c r="B9" s="4" t="inlineStr">
        <is>
          <t>Item info</t>
        </is>
      </c>
      <c r="C9" s="4" t="inlineStr">
        <is>
          <t>Konsisten X101</t>
        </is>
      </c>
    </row>
    <row r="10">
      <c r="A10" s="4" t="inlineStr">
        <is>
          <t>BIN</t>
        </is>
      </c>
      <c r="B10" s="4" t="inlineStr">
        <is>
          <t>Lokasi rak di toko</t>
        </is>
      </c>
      <c r="C10" s="4" t="inlineStr">
        <is>
          <t>Contoh: EXT_STORAGE</t>
        </is>
      </c>
    </row>
    <row r="11">
      <c r="A11" s="4" t="inlineStr">
        <is>
          <t>ONHAND QTY</t>
        </is>
      </c>
      <c r="B11" s="4" t="inlineStr">
        <is>
          <t>Stok saat snapshot</t>
        </is>
      </c>
      <c r="C11" s="4" t="inlineStr">
        <is>
          <t>Integer</t>
        </is>
      </c>
    </row>
    <row r="12">
      <c r="A12" s="4" t="inlineStr">
        <is>
          <t>(Catatan format CSV)</t>
        </is>
      </c>
      <c r="B12" s="4" t="inlineStr">
        <is>
          <t>Format aneh</t>
        </is>
      </c>
      <c r="C12" s="4" t="inlineStr">
        <is>
          <t>Double-header (textbox* + business header tumpuk) — minta XStore re-export bersih</t>
        </is>
      </c>
    </row>
    <row r="15">
      <c r="A15" s="7" t="inlineStr">
        <is>
          <t>X32P_Stock_Movement_Report_With_Price.xlsx</t>
        </is>
      </c>
    </row>
    <row r="16">
      <c r="A16" s="3" t="inlineStr">
        <is>
          <t>Kolom</t>
        </is>
      </c>
      <c r="B16" s="3" t="inlineStr">
        <is>
          <t>Arti</t>
        </is>
      </c>
      <c r="C16" s="3" t="inlineStr">
        <is>
          <t>Catatan</t>
        </is>
      </c>
    </row>
    <row r="17">
      <c r="A17" s="4" t="inlineStr">
        <is>
          <t>STORE CODE / SAP STORE CODE / STORE NAME</t>
        </is>
      </c>
      <c r="B17" s="4" t="inlineStr">
        <is>
          <t>Toko</t>
        </is>
      </c>
      <c r="C17" s="4" t="inlineStr"/>
    </row>
    <row r="18">
      <c r="A18" s="4" t="inlineStr">
        <is>
          <t>PRODUCT CODE</t>
        </is>
      </c>
      <c r="B18" s="4" t="inlineStr">
        <is>
          <t>Template</t>
        </is>
      </c>
      <c r="C18" s="4" t="inlineStr"/>
    </row>
    <row r="19">
      <c r="A19" s="4" t="inlineStr">
        <is>
          <t>WAIST / INSEAM</t>
        </is>
      </c>
      <c r="B19" s="4" t="inlineStr">
        <is>
          <t>Variant</t>
        </is>
      </c>
      <c r="C19" s="4" t="inlineStr"/>
    </row>
    <row r="20">
      <c r="A20" s="4" t="inlineStr">
        <is>
          <t>ITEM DESCRIPTION / BRAND / CATEGORY / CLASS / SUB CLASS</t>
        </is>
      </c>
      <c r="B20" s="4" t="inlineStr">
        <is>
          <t>Item info</t>
        </is>
      </c>
      <c r="C20" s="4" t="inlineStr"/>
    </row>
    <row r="21">
      <c r="A21" s="4" t="inlineStr">
        <is>
          <t>OPENING ONHAND / OPENING ONHAND RETAIL</t>
        </is>
      </c>
      <c r="B21" s="4" t="inlineStr">
        <is>
          <t>Stok awal periode (qty + nilai retail)</t>
        </is>
      </c>
      <c r="C21" s="4" t="inlineStr"/>
    </row>
    <row r="22">
      <c r="A22" s="4" t="inlineStr">
        <is>
          <t>INVENTORY ADJUSTMENT / ADJUSTMENT RETAIL</t>
        </is>
      </c>
      <c r="B22" s="4" t="inlineStr">
        <is>
          <t>Penyesuaian stok</t>
        </is>
      </c>
      <c r="C22" s="4" t="inlineStr"/>
    </row>
    <row r="23">
      <c r="A23" s="4" t="inlineStr">
        <is>
          <t>ITEM SALE / SALES RETAIL</t>
        </is>
      </c>
      <c r="B23" s="4" t="inlineStr">
        <is>
          <t>Qty terjual + nilai retail</t>
        </is>
      </c>
      <c r="C23" s="4" t="inlineStr"/>
    </row>
    <row r="24">
      <c r="A24" s="4" t="inlineStr">
        <is>
          <t>POSTVOID ITEM SALE (×2)</t>
        </is>
      </c>
      <c r="B24" s="4" t="inlineStr">
        <is>
          <t>Kolom duplikat!</t>
        </is>
      </c>
      <c r="C24" s="4" t="inlineStr">
        <is>
          <t>Kolom 19 kemungkinan = POSTVOID SALES RETAIL (typo header)</t>
        </is>
      </c>
    </row>
    <row r="25">
      <c r="A25" s="4" t="inlineStr">
        <is>
          <t>ITEM RETURN / RETURN RETAIL</t>
        </is>
      </c>
      <c r="B25" s="4" t="inlineStr">
        <is>
          <t>Qty return + nilai</t>
        </is>
      </c>
      <c r="C25" s="4" t="inlineStr"/>
    </row>
    <row r="26">
      <c r="A26" s="4" t="inlineStr">
        <is>
          <t>POSTVOID ITEM RETURN / POSTVOID RETURN RETAIL</t>
        </is>
      </c>
      <c r="B26" s="4" t="inlineStr">
        <is>
          <t>Postvoid return</t>
        </is>
      </c>
      <c r="C26" s="4" t="inlineStr"/>
    </row>
    <row r="27">
      <c r="A27" s="4" t="inlineStr">
        <is>
          <t>RECEIVING / RECEIVING RETAIL</t>
        </is>
      </c>
      <c r="B27" s="4" t="inlineStr">
        <is>
          <t>Penerimaan barang</t>
        </is>
      </c>
      <c r="C27" s="4" t="inlineStr"/>
    </row>
    <row r="28">
      <c r="A28" s="4" t="inlineStr">
        <is>
          <t>RECEIVING VOID / RECEIVING VOID RETAIL</t>
        </is>
      </c>
      <c r="B28" s="4" t="inlineStr">
        <is>
          <t>Void receiving</t>
        </is>
      </c>
      <c r="C28" s="4" t="inlineStr"/>
    </row>
    <row r="29">
      <c r="A29" s="4" t="inlineStr">
        <is>
          <t>SHIPPING / SHIPPING RETAIL</t>
        </is>
      </c>
      <c r="B29" s="4" t="inlineStr">
        <is>
          <t>Pengiriman</t>
        </is>
      </c>
      <c r="C29" s="4" t="inlineStr"/>
    </row>
    <row r="30">
      <c r="A30" s="4" t="inlineStr">
        <is>
          <t>SHIPPING VOID / SHIPPING VOID RETAIL</t>
        </is>
      </c>
      <c r="B30" s="4" t="inlineStr">
        <is>
          <t>Void shipping</t>
        </is>
      </c>
      <c r="C30" s="4" t="inlineStr"/>
    </row>
    <row r="31">
      <c r="A31" s="4" t="inlineStr">
        <is>
          <t>ITEM TRANSFER / ITEM TRANSFER RETAIL</t>
        </is>
      </c>
      <c r="B31" s="4" t="inlineStr">
        <is>
          <t>Transfer antar toko</t>
        </is>
      </c>
      <c r="C31" s="4" t="inlineStr"/>
    </row>
    <row r="32">
      <c r="A32" s="4" t="inlineStr">
        <is>
          <t>TOTAL QTY MOVED</t>
        </is>
      </c>
      <c r="B32" s="4" t="inlineStr">
        <is>
          <t>Total pergerakan</t>
        </is>
      </c>
      <c r="C32" s="4" t="inlineStr"/>
    </row>
    <row r="33">
      <c r="A33" s="4" t="inlineStr">
        <is>
          <t>ENDING ONHAND / ENDING ONHAND RETAIL</t>
        </is>
      </c>
      <c r="B33" s="4" t="inlineStr">
        <is>
          <t>Stok akhir periode</t>
        </is>
      </c>
      <c r="C33" s="4" t="inlineStr"/>
    </row>
  </sheetData>
  <mergeCells count="4">
    <mergeCell ref="A1:C1"/>
    <mergeCell ref="A4:C4"/>
    <mergeCell ref="A2:C2"/>
    <mergeCell ref="A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</cols>
  <sheetData>
    <row r="1">
      <c r="A1" s="5" t="inlineStr">
        <is>
          <t>Statistik temuan dari Phase 1 exploration</t>
        </is>
      </c>
    </row>
    <row r="3">
      <c r="A3" s="3" t="inlineStr">
        <is>
          <t>File</t>
        </is>
      </c>
      <c r="B3" s="3" t="inlineStr">
        <is>
          <t>Metrik</t>
        </is>
      </c>
      <c r="C3" s="3" t="inlineStr">
        <is>
          <t>Nilai</t>
        </is>
      </c>
    </row>
    <row r="4">
      <c r="A4" s="4" t="inlineStr">
        <is>
          <t>X101 Material Master</t>
        </is>
      </c>
      <c r="B4" s="4" t="inlineStr">
        <is>
          <t>Total rows</t>
        </is>
      </c>
      <c r="C4" s="4" t="inlineStr">
        <is>
          <t>214,305</t>
        </is>
      </c>
    </row>
    <row r="5">
      <c r="A5" s="4" t="inlineStr">
        <is>
          <t>X101 Material Master</t>
        </is>
      </c>
      <c r="B5" s="4" t="inlineStr">
        <is>
          <t>Unique PRODUCT CODE (template)</t>
        </is>
      </c>
      <c r="C5" s="4" t="inlineStr">
        <is>
          <t>14,885</t>
        </is>
      </c>
    </row>
    <row r="6">
      <c r="A6" s="4" t="inlineStr">
        <is>
          <t>X101 Material Master</t>
        </is>
      </c>
      <c r="B6" s="4" t="inlineStr">
        <is>
          <t>Unique PROD SKU (variant)</t>
        </is>
      </c>
      <c r="C6" s="4" t="inlineStr">
        <is>
          <t>159,658</t>
        </is>
      </c>
    </row>
    <row r="7">
      <c r="A7" s="4" t="inlineStr">
        <is>
          <t>X101 Material Master</t>
        </is>
      </c>
      <c r="B7" s="4" t="inlineStr">
        <is>
          <t>Baris duplikat PROD SKU</t>
        </is>
      </c>
      <c r="C7" s="4" t="inlineStr">
        <is>
          <t>54,647 (PERLU KLARIFIKASI strategi dedup)</t>
        </is>
      </c>
    </row>
    <row r="8">
      <c r="A8" s="4" t="inlineStr">
        <is>
          <t>X101 Material Master</t>
        </is>
      </c>
      <c r="B8" s="4" t="inlineStr">
        <is>
          <t>Empty PROD GTIN</t>
        </is>
      </c>
      <c r="C8" s="4" t="inlineStr">
        <is>
          <t>0</t>
        </is>
      </c>
    </row>
    <row r="9">
      <c r="A9" s="4" t="inlineStr">
        <is>
          <t>X101 Material Master</t>
        </is>
      </c>
      <c r="B9" s="4" t="inlineStr">
        <is>
          <t>Empty PROD JAN</t>
        </is>
      </c>
      <c r="C9" s="4" t="inlineStr">
        <is>
          <t>57,667 (OK, sekunder)</t>
        </is>
      </c>
    </row>
    <row r="10">
      <c r="A10" s="4" t="inlineStr">
        <is>
          <t>X101 Material Master</t>
        </is>
      </c>
      <c r="B10" s="4" t="inlineStr">
        <is>
          <t>Distinct BRAND</t>
        </is>
      </c>
      <c r="C10" s="4" t="inlineStr">
        <is>
          <t>1 (LEVIS)</t>
        </is>
      </c>
    </row>
    <row r="11">
      <c r="A11" s="4" t="inlineStr">
        <is>
          <t>X101 Material Master</t>
        </is>
      </c>
      <c r="B11" s="4" t="inlineStr">
        <is>
          <t>Distinct PRICE LEVEL</t>
        </is>
      </c>
      <c r="C11" s="4" t="inlineStr">
        <is>
          <t>1 (MARKET)</t>
        </is>
      </c>
    </row>
    <row r="12">
      <c r="A12" s="4" t="inlineStr">
        <is>
          <t>X101 Material Master</t>
        </is>
      </c>
      <c r="B12" s="4" t="inlineStr">
        <is>
          <t>Distinct LEVEL VALUE</t>
        </is>
      </c>
      <c r="C12" s="4" t="inlineStr">
        <is>
          <t>1 (LVAMAID)</t>
        </is>
      </c>
    </row>
    <row r="13">
      <c r="A13" s="4" t="inlineStr">
        <is>
          <t>X101 Material Master</t>
        </is>
      </c>
      <c r="B13" s="4" t="inlineStr">
        <is>
          <t>Distinct CATEGORY</t>
        </is>
      </c>
      <c r="C13" s="4" t="inlineStr">
        <is>
          <t>6 (MENS/WOMENS × BOTTOMS/TOPS/ACCESSORIES + MENS FOOTWEAR)</t>
        </is>
      </c>
    </row>
    <row r="14">
      <c r="A14" s="4" t="inlineStr">
        <is>
          <t>X101 Material Master</t>
        </is>
      </c>
      <c r="B14" s="4" t="inlineStr">
        <is>
          <t>Distinct INSEAM '-' (non-bottoms)</t>
        </is>
      </c>
      <c r="C14" s="4" t="inlineStr">
        <is>
          <t>72,588</t>
        </is>
      </c>
    </row>
    <row r="15">
      <c r="A15" s="4" t="inlineStr">
        <is>
          <t>X101 Material Master</t>
        </is>
      </c>
      <c r="B15" s="4" t="inlineStr">
        <is>
          <t>Product dengan &gt;1 distinct price</t>
        </is>
      </c>
      <c r="C15" s="4" t="inlineStr">
        <is>
          <t>0 (harga stabil per template)</t>
        </is>
      </c>
    </row>
    <row r="16">
      <c r="A16" s="4" t="inlineStr">
        <is>
          <t>X24DN Retail Sales</t>
        </is>
      </c>
      <c r="B16" s="4" t="inlineStr">
        <is>
          <t>Total line rows</t>
        </is>
      </c>
      <c r="C16" s="4" t="inlineStr">
        <is>
          <t>945 (+ 1 Grand Total)</t>
        </is>
      </c>
    </row>
    <row r="17">
      <c r="A17" s="4" t="inlineStr">
        <is>
          <t>X24DN Retail Sales</t>
        </is>
      </c>
      <c r="B17" s="4" t="inlineStr">
        <is>
          <t>Unique transactions</t>
        </is>
      </c>
      <c r="C17" s="4" t="inlineStr">
        <is>
          <t>330</t>
        </is>
      </c>
    </row>
    <row r="18">
      <c r="A18" s="4" t="inlineStr">
        <is>
          <t>X24DN Retail Sales</t>
        </is>
      </c>
      <c r="B18" s="4" t="inlineStr">
        <is>
          <t>Unique stores</t>
        </is>
      </c>
      <c r="C18" s="4" t="inlineStr">
        <is>
          <t>1 (14694)</t>
        </is>
      </c>
    </row>
    <row r="19">
      <c r="A19" s="4" t="inlineStr">
        <is>
          <t>X24DN Retail Sales</t>
        </is>
      </c>
      <c r="B19" s="4" t="inlineStr">
        <is>
          <t>Unique registers</t>
        </is>
      </c>
      <c r="C19" s="4" t="inlineStr">
        <is>
          <t>1</t>
        </is>
      </c>
    </row>
    <row r="20">
      <c r="A20" s="4" t="inlineStr">
        <is>
          <t>X24DN Retail Sales</t>
        </is>
      </c>
      <c r="B20" s="4" t="inlineStr">
        <is>
          <t>Lines dengan MEMBER_TYPE=STAMPS_ID</t>
        </is>
      </c>
      <c r="C20" s="4" t="inlineStr">
        <is>
          <t>892</t>
        </is>
      </c>
    </row>
    <row r="21">
      <c r="A21" s="4" t="inlineStr">
        <is>
          <t>X24DN Retail Sales</t>
        </is>
      </c>
      <c r="B21" s="4" t="inlineStr">
        <is>
          <t>Lines tanpa member (walk-in)</t>
        </is>
      </c>
      <c r="C21" s="4" t="inlineStr">
        <is>
          <t>53</t>
        </is>
      </c>
    </row>
    <row r="22">
      <c r="A22" s="4" t="inlineStr">
        <is>
          <t>X24DN Retail Sales</t>
        </is>
      </c>
      <c r="B22" s="4" t="inlineStr">
        <is>
          <t>TAX RATE</t>
        </is>
      </c>
      <c r="C22" s="4" t="inlineStr">
        <is>
          <t>0.11 (PPN 11%)</t>
        </is>
      </c>
    </row>
    <row r="23">
      <c r="A23" s="4" t="inlineStr">
        <is>
          <t>X31 Discount Journal</t>
        </is>
      </c>
      <c r="B23" s="4" t="inlineStr">
        <is>
          <t>Total data rows</t>
        </is>
      </c>
      <c r="C23" s="4" t="inlineStr">
        <is>
          <t>33</t>
        </is>
      </c>
    </row>
    <row r="24">
      <c r="A24" s="4" t="inlineStr">
        <is>
          <t>X31 Discount Journal</t>
        </is>
      </c>
      <c r="B24" s="4" t="inlineStr">
        <is>
          <t>Distinct discount codes</t>
        </is>
      </c>
      <c r="C24" s="4" t="inlineStr">
        <is>
          <t>4</t>
        </is>
      </c>
    </row>
    <row r="25">
      <c r="A25" s="4" t="inlineStr">
        <is>
          <t>X31 Discount Journal</t>
        </is>
      </c>
      <c r="B25" s="4" t="inlineStr">
        <is>
          <t xml:space="preserve">  → LPAID1117 CRM-VIP DISCOUNT</t>
        </is>
      </c>
      <c r="C25" s="4" t="inlineStr">
        <is>
          <t>21 rows</t>
        </is>
      </c>
    </row>
    <row r="26">
      <c r="A26" s="4" t="inlineStr">
        <is>
          <t>X31 Discount Journal</t>
        </is>
      </c>
      <c r="B26" s="4" t="inlineStr">
        <is>
          <t xml:space="preserve">  → 14323:104721:PPA:TR150 Telkomsel Redemption V150K</t>
        </is>
      </c>
      <c r="C26" s="4" t="inlineStr">
        <is>
          <t>7 rows</t>
        </is>
      </c>
    </row>
    <row r="27">
      <c r="A27" s="4" t="inlineStr">
        <is>
          <t>X31 Discount Journal</t>
        </is>
      </c>
      <c r="B27" s="4" t="inlineStr">
        <is>
          <t xml:space="preserve">  → LPAID1706 CRM-Birthday Voucher</t>
        </is>
      </c>
      <c r="C27" s="4" t="inlineStr">
        <is>
          <t>2 rows</t>
        </is>
      </c>
    </row>
    <row r="28">
      <c r="A28" s="4" t="inlineStr">
        <is>
          <t>X31 Discount Journal</t>
        </is>
      </c>
      <c r="B28" s="4" t="inlineStr">
        <is>
          <t xml:space="preserve">  → LPAID2307 CRM-Retention V200K-OLS</t>
        </is>
      </c>
      <c r="C28" s="4" t="inlineStr">
        <is>
          <t>1 row</t>
        </is>
      </c>
    </row>
    <row r="29">
      <c r="A29" s="4" t="inlineStr">
        <is>
          <t>X32P Stock Movement</t>
        </is>
      </c>
      <c r="B29" s="4" t="inlineStr">
        <is>
          <t>Total rows</t>
        </is>
      </c>
      <c r="C29" s="4" t="inlineStr">
        <is>
          <t>14,971 (di-skip untuk dry-run)</t>
        </is>
      </c>
    </row>
    <row r="30">
      <c r="A30" s="4" t="inlineStr">
        <is>
          <t>Periode</t>
        </is>
      </c>
      <c r="B30" s="4" t="inlineStr">
        <is>
          <t>Start - End</t>
        </is>
      </c>
      <c r="C30" s="4" t="inlineStr">
        <is>
          <t>26 Apr 2026 – 11 Mei 2026 (16 hari, sample dry-run)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65" customWidth="1" min="4" max="4"/>
    <col width="10" customWidth="1" min="5" max="5"/>
    <col width="11" customWidth="1" min="6" max="6"/>
    <col width="24" customWidth="1" min="7" max="7"/>
    <col width="35" customWidth="1" min="8" max="8"/>
  </cols>
  <sheetData>
    <row r="1">
      <c r="A1" s="5" t="inlineStr">
        <is>
          <t>Daftar klarifikasi yang harus dijawab user / principal Levi's / Tax consultant</t>
        </is>
      </c>
    </row>
    <row r="2">
      <c r="A2" s="2" t="inlineStr">
        <is>
          <t>Kolom 'Answer' kosong untuk diisi oleh stakeholder. Prioritas High = blocking untuk migration plan final.</t>
        </is>
      </c>
    </row>
    <row r="4">
      <c r="A4" s="3" t="inlineStr">
        <is>
          <t>#</t>
        </is>
      </c>
      <c r="B4" s="3" t="inlineStr">
        <is>
          <t>Kategori</t>
        </is>
      </c>
      <c r="C4" s="3" t="inlineStr">
        <is>
          <t>Topik</t>
        </is>
      </c>
      <c r="D4" s="3" t="inlineStr">
        <is>
          <t>Pertanyaan</t>
        </is>
      </c>
      <c r="E4" s="3" t="inlineStr">
        <is>
          <t>Priority</t>
        </is>
      </c>
      <c r="F4" s="3" t="inlineStr">
        <is>
          <t>Blocking?</t>
        </is>
      </c>
      <c r="G4" s="3" t="inlineStr">
        <is>
          <t>Owner</t>
        </is>
      </c>
      <c r="H4" s="3" t="inlineStr">
        <is>
          <t>Answer</t>
        </is>
      </c>
    </row>
    <row r="5">
      <c r="A5" s="8" t="n">
        <v>1</v>
      </c>
      <c r="B5" s="8" t="inlineStr">
        <is>
          <t>C.1 X101</t>
        </is>
      </c>
      <c r="C5" s="8" t="inlineStr">
        <is>
          <t>Dedup strategy</t>
        </is>
      </c>
      <c r="D5" s="8" t="inlineStr">
        <is>
          <t>54,647 baris duplikat PROD SKU — apa artinya? Strategi dedup: ambil row terbaru per PROD SKU by PRICE EFFECTIVE FROM, atau ada makna bisnis lain?</t>
        </is>
      </c>
      <c r="E5" s="8" t="inlineStr">
        <is>
          <t>High</t>
        </is>
      </c>
      <c r="F5" s="8" t="inlineStr">
        <is>
          <t>Yes</t>
        </is>
      </c>
      <c r="G5" s="8" t="inlineStr">
        <is>
          <t>User / XStore</t>
        </is>
      </c>
      <c r="H5" s="8" t="inlineStr"/>
    </row>
    <row r="6">
      <c r="A6" s="8" t="n">
        <v>2</v>
      </c>
      <c r="B6" s="8" t="inlineStr">
        <is>
          <t>C.1 X101</t>
        </is>
      </c>
      <c r="C6" s="8" t="inlineStr">
        <is>
          <t>SUBCLASS terpotong</t>
        </is>
      </c>
      <c r="D6" s="8" t="inlineStr">
        <is>
          <t>SUBCLASS terpotong 10 char (REGULAR OR, LOOSE OR B, GRAPHIC TE, ...). Bisa re-export dengan full text, atau supply mapping table manual?</t>
        </is>
      </c>
      <c r="E6" s="8" t="inlineStr">
        <is>
          <t>High</t>
        </is>
      </c>
      <c r="F6" s="8" t="inlineStr">
        <is>
          <t>Yes</t>
        </is>
      </c>
      <c r="G6" s="8" t="inlineStr">
        <is>
          <t>Principal Levi's</t>
        </is>
      </c>
      <c r="H6" s="8" t="inlineStr"/>
    </row>
    <row r="7">
      <c r="A7" s="9" t="n">
        <v>3</v>
      </c>
      <c r="B7" s="9" t="inlineStr">
        <is>
          <t>C.1 X101</t>
        </is>
      </c>
      <c r="C7" s="9" t="inlineStr">
        <is>
          <t>PRODUCT CODE pattern</t>
        </is>
      </c>
      <c r="D7" s="9" t="inlineStr">
        <is>
          <t>PRODUCT CODE (0002E-0031) = style code Levi's global authoritative untuk template? PROD SKU = PRODUCT_CODE + SIZE + INSEAM?</t>
        </is>
      </c>
      <c r="E7" s="9" t="inlineStr">
        <is>
          <t>Med</t>
        </is>
      </c>
      <c r="F7" s="9" t="inlineStr">
        <is>
          <t>No</t>
        </is>
      </c>
      <c r="G7" s="9" t="inlineStr">
        <is>
          <t>Principal Levi's</t>
        </is>
      </c>
      <c r="H7" s="9" t="inlineStr"/>
    </row>
    <row r="8">
      <c r="A8" s="10" t="n">
        <v>4</v>
      </c>
      <c r="B8" s="10" t="inlineStr">
        <is>
          <t>C.1 X101</t>
        </is>
      </c>
      <c r="C8" s="10" t="inlineStr">
        <is>
          <t>Barcode fallback</t>
        </is>
      </c>
      <c r="D8" s="10" t="inlineStr">
        <is>
          <t>Untuk SKU tanpa PROD GTIN (0 di full dataset, tapi safety): generate internal barcode dari PROD SKU, kosongkan, atau skip SKU?</t>
        </is>
      </c>
      <c r="E8" s="10" t="inlineStr">
        <is>
          <t>Low</t>
        </is>
      </c>
      <c r="F8" s="10" t="inlineStr">
        <is>
          <t>No</t>
        </is>
      </c>
      <c r="G8" s="10" t="inlineStr">
        <is>
          <t>User</t>
        </is>
      </c>
      <c r="H8" s="10" t="inlineStr"/>
    </row>
    <row r="9">
      <c r="A9" s="9" t="n">
        <v>5</v>
      </c>
      <c r="B9" s="9" t="inlineStr">
        <is>
          <t>C.1 X101</t>
        </is>
      </c>
      <c r="C9" s="9" t="inlineStr">
        <is>
          <t>Variant matrix</t>
        </is>
      </c>
      <c r="D9" s="9" t="inlineStr">
        <is>
          <t>Produk JEANS punya 2 axis WAIST × INSEAM. Generate semua kombinasi (matrix) atau hanya yang muncul di file?</t>
        </is>
      </c>
      <c r="E9" s="9" t="inlineStr">
        <is>
          <t>Med</t>
        </is>
      </c>
      <c r="F9" s="9" t="inlineStr">
        <is>
          <t>No</t>
        </is>
      </c>
      <c r="G9" s="9" t="inlineStr">
        <is>
          <t>User</t>
        </is>
      </c>
      <c r="H9" s="9" t="inlineStr"/>
    </row>
    <row r="10">
      <c r="A10" s="9" t="n">
        <v>6</v>
      </c>
      <c r="B10" s="9" t="inlineStr">
        <is>
          <t>C.1 X101</t>
        </is>
      </c>
      <c r="C10" s="9" t="inlineStr">
        <is>
          <t>Pricelist effective end</t>
        </is>
      </c>
      <c r="D10" s="9" t="inlineStr">
        <is>
          <t>Semua harga aktif sampai sekarang? Atau perlu price history multiple item dengan date_start naik?</t>
        </is>
      </c>
      <c r="E10" s="9" t="inlineStr">
        <is>
          <t>Med</t>
        </is>
      </c>
      <c r="F10" s="9" t="inlineStr">
        <is>
          <t>No</t>
        </is>
      </c>
      <c r="G10" s="9" t="inlineStr">
        <is>
          <t>User</t>
        </is>
      </c>
      <c r="H10" s="9" t="inlineStr"/>
    </row>
    <row r="11">
      <c r="A11" s="10" t="n">
        <v>7</v>
      </c>
      <c r="B11" s="10" t="inlineStr">
        <is>
          <t>C.1 X101</t>
        </is>
      </c>
      <c r="C11" s="10" t="inlineStr">
        <is>
          <t>LEVEL VALUE arti</t>
        </is>
      </c>
      <c r="D11" s="10" t="inlineStr">
        <is>
          <t>LEVEL VALUE = LVAMAID — singkatan apa? Confirm bisa di-ignore.</t>
        </is>
      </c>
      <c r="E11" s="10" t="inlineStr">
        <is>
          <t>Low</t>
        </is>
      </c>
      <c r="F11" s="10" t="inlineStr">
        <is>
          <t>No</t>
        </is>
      </c>
      <c r="G11" s="10" t="inlineStr">
        <is>
          <t>Principal Levi's</t>
        </is>
      </c>
      <c r="H11" s="10" t="inlineStr"/>
    </row>
    <row r="12">
      <c r="A12" s="8" t="n">
        <v>8</v>
      </c>
      <c r="B12" s="8" t="inlineStr">
        <is>
          <t>C.1 X101</t>
        </is>
      </c>
      <c r="C12" s="8" t="inlineStr">
        <is>
          <t>IDR currency precision</t>
        </is>
      </c>
      <c r="D12" s="8" t="inlineStr">
        <is>
          <t>Decimal places untuk IDR di company config Odoo: 0 atau 2? Default Odoo IDR = 2. Confirm.</t>
        </is>
      </c>
      <c r="E12" s="8" t="inlineStr">
        <is>
          <t>High</t>
        </is>
      </c>
      <c r="F12" s="8" t="inlineStr">
        <is>
          <t>Yes</t>
        </is>
      </c>
      <c r="G12" s="8" t="inlineStr">
        <is>
          <t>User</t>
        </is>
      </c>
      <c r="H12" s="8" t="inlineStr"/>
    </row>
    <row r="13">
      <c r="A13" s="9" t="n">
        <v>9</v>
      </c>
      <c r="B13" s="9" t="inlineStr">
        <is>
          <t>C.2 X24DN</t>
        </is>
      </c>
      <c r="C13" s="9" t="inlineStr">
        <is>
          <t>Formula reconcile</t>
        </is>
      </c>
      <c r="D13" s="9" t="inlineStr">
        <is>
          <t>Confirm formula: GROSS × QTY = TOTAL; NET SOLD = TOTAL - TAX; NET DISCOUNT = RETAIL - GROSS per qty?</t>
        </is>
      </c>
      <c r="E13" s="9" t="inlineStr">
        <is>
          <t>Med</t>
        </is>
      </c>
      <c r="F13" s="9" t="inlineStr">
        <is>
          <t>No</t>
        </is>
      </c>
      <c r="G13" s="9" t="inlineStr">
        <is>
          <t>User / XStore</t>
        </is>
      </c>
      <c r="H13" s="9" t="inlineStr"/>
    </row>
    <row r="14">
      <c r="A14" s="9" t="n">
        <v>10</v>
      </c>
      <c r="B14" s="9" t="inlineStr">
        <is>
          <t>C.2 X24DN</t>
        </is>
      </c>
      <c r="C14" s="9" t="inlineStr">
        <is>
          <t>Posting strategy SO</t>
        </is>
      </c>
      <c r="D14" s="9" t="inlineStr">
        <is>
          <t>Per TRANSNUM = 1 sale.order multi-line? Atau aggregate harian per store?</t>
        </is>
      </c>
      <c r="E14" s="9" t="inlineStr">
        <is>
          <t>Med</t>
        </is>
      </c>
      <c r="F14" s="9" t="inlineStr">
        <is>
          <t>No</t>
        </is>
      </c>
      <c r="G14" s="9" t="inlineStr">
        <is>
          <t>User</t>
        </is>
      </c>
      <c r="H14" s="9" t="inlineStr"/>
    </row>
    <row r="15">
      <c r="A15" s="8" t="n">
        <v>11</v>
      </c>
      <c r="B15" s="8" t="inlineStr">
        <is>
          <t>C.2 X24DN</t>
        </is>
      </c>
      <c r="C15" s="8" t="inlineStr">
        <is>
          <t>Payment method</t>
        </is>
      </c>
      <c r="D15" s="8" t="inlineStr">
        <is>
          <t>Tidak ada kolom payment di X24DN. Pakai 1 default 'POS Cash' sampai data tersedia? Atau ada file payment terpisah?</t>
        </is>
      </c>
      <c r="E15" s="8" t="inlineStr">
        <is>
          <t>High</t>
        </is>
      </c>
      <c r="F15" s="8" t="inlineStr">
        <is>
          <t>Yes</t>
        </is>
      </c>
      <c r="G15" s="8" t="inlineStr">
        <is>
          <t>User / XStore</t>
        </is>
      </c>
      <c r="H15" s="8" t="inlineStr"/>
    </row>
    <row r="16">
      <c r="A16" s="9" t="n">
        <v>12</v>
      </c>
      <c r="B16" s="9" t="inlineStr">
        <is>
          <t>C.2 X24DN</t>
        </is>
      </c>
      <c r="C16" s="9" t="inlineStr">
        <is>
          <t>Staff representation</t>
        </is>
      </c>
      <c r="D16" s="9" t="inlineStr">
        <is>
          <t>STAFF ID → hr.employee, res.users, atau analytic tag di SO?</t>
        </is>
      </c>
      <c r="E16" s="9" t="inlineStr">
        <is>
          <t>Med</t>
        </is>
      </c>
      <c r="F16" s="9" t="inlineStr">
        <is>
          <t>No</t>
        </is>
      </c>
      <c r="G16" s="9" t="inlineStr">
        <is>
          <t>User</t>
        </is>
      </c>
      <c r="H16" s="9" t="inlineStr"/>
    </row>
    <row r="17">
      <c r="A17" s="10" t="n">
        <v>13</v>
      </c>
      <c r="B17" s="10" t="inlineStr">
        <is>
          <t>C.2 X24DN</t>
        </is>
      </c>
      <c r="C17" s="10" t="inlineStr">
        <is>
          <t>Omni Order Id</t>
        </is>
      </c>
      <c r="D17" s="10" t="inlineStr">
        <is>
          <t>Reference order e-commerce/app? Selalu None di sample — confirm.</t>
        </is>
      </c>
      <c r="E17" s="10" t="inlineStr">
        <is>
          <t>Low</t>
        </is>
      </c>
      <c r="F17" s="10" t="inlineStr">
        <is>
          <t>No</t>
        </is>
      </c>
      <c r="G17" s="10" t="inlineStr">
        <is>
          <t>Principal Levi's</t>
        </is>
      </c>
      <c r="H17" s="10" t="inlineStr"/>
    </row>
    <row r="18">
      <c r="A18" s="9" t="n">
        <v>14</v>
      </c>
      <c r="B18" s="9" t="inlineStr">
        <is>
          <t>C.2 X24DN</t>
        </is>
      </c>
      <c r="C18" s="9" t="inlineStr">
        <is>
          <t>Member ID handling</t>
        </is>
      </c>
      <c r="D18" s="9" t="inlineStr">
        <is>
          <t>Customer master nantinya di-push dari CRM Stamps loyalty, atau Odoo simpan member ID sebagai metadata tanpa partner?</t>
        </is>
      </c>
      <c r="E18" s="9" t="inlineStr">
        <is>
          <t>Med</t>
        </is>
      </c>
      <c r="F18" s="9" t="inlineStr">
        <is>
          <t>No</t>
        </is>
      </c>
      <c r="G18" s="9" t="inlineStr">
        <is>
          <t>User</t>
        </is>
      </c>
      <c r="H18" s="9" t="inlineStr"/>
    </row>
    <row r="19">
      <c r="A19" s="10" t="n">
        <v>15</v>
      </c>
      <c r="B19" s="10" t="inlineStr">
        <is>
          <t>C.2 X24DN</t>
        </is>
      </c>
      <c r="C19" s="10" t="inlineStr">
        <is>
          <t>Reversal/void flow</t>
        </is>
      </c>
      <c r="D19" s="10" t="inlineStr">
        <is>
          <t>Kolom ORIGINAL STORE/TRANS SEQ untuk return/postvoid (None di sample). Untuk go-live: handle dengan credit note?</t>
        </is>
      </c>
      <c r="E19" s="10" t="inlineStr">
        <is>
          <t>Low</t>
        </is>
      </c>
      <c r="F19" s="10" t="inlineStr">
        <is>
          <t>No</t>
        </is>
      </c>
      <c r="G19" s="10" t="inlineStr">
        <is>
          <t>User</t>
        </is>
      </c>
      <c r="H19" s="10" t="inlineStr"/>
    </row>
    <row r="20">
      <c r="A20" s="10" t="n">
        <v>16</v>
      </c>
      <c r="B20" s="10" t="inlineStr">
        <is>
          <t>C.2 X24DN</t>
        </is>
      </c>
      <c r="C20" s="10" t="inlineStr">
        <is>
          <t>Field TH suffix</t>
        </is>
      </c>
      <c r="D20" s="10" t="inlineStr">
        <is>
          <t>RACE, SURVEY CUSTOMER TH, TYPE OF SALE TH — TH = Thailand? Bisa ignore di Indonesia?</t>
        </is>
      </c>
      <c r="E20" s="10" t="inlineStr">
        <is>
          <t>Low</t>
        </is>
      </c>
      <c r="F20" s="10" t="inlineStr">
        <is>
          <t>No</t>
        </is>
      </c>
      <c r="G20" s="10" t="inlineStr">
        <is>
          <t>Principal Levi's</t>
        </is>
      </c>
      <c r="H20" s="10" t="inlineStr"/>
    </row>
    <row r="21">
      <c r="A21" s="9" t="n">
        <v>17</v>
      </c>
      <c r="B21" s="9" t="inlineStr">
        <is>
          <t>C.3 X31</t>
        </is>
      </c>
      <c r="C21" s="9" t="inlineStr">
        <is>
          <t>Join key 1:1</t>
        </is>
      </c>
      <c r="D21" s="9" t="inlineStr">
        <is>
          <t>Apakah (TRANSNUM, PRODUCT CODE, WAIST, INSEAM) cukup unik untuk join 1:1 ke X24DN line?</t>
        </is>
      </c>
      <c r="E21" s="9" t="inlineStr">
        <is>
          <t>Med</t>
        </is>
      </c>
      <c r="F21" s="9" t="inlineStr">
        <is>
          <t>No</t>
        </is>
      </c>
      <c r="G21" s="9" t="inlineStr">
        <is>
          <t>User / XStore</t>
        </is>
      </c>
      <c r="H21" s="9" t="inlineStr"/>
    </row>
    <row r="22">
      <c r="A22" s="9" t="n">
        <v>18</v>
      </c>
      <c r="B22" s="9" t="inlineStr">
        <is>
          <t>C.3 X31</t>
        </is>
      </c>
      <c r="C22" s="9" t="inlineStr">
        <is>
          <t>Stacked promo</t>
        </is>
      </c>
      <c r="D22" s="9" t="inlineStr">
        <is>
          <t>X24DN punya 4 slot discount (None semua), X31 row per promo. Bisa 1 line punya ≥2 promo (stacked)?</t>
        </is>
      </c>
      <c r="E22" s="9" t="inlineStr">
        <is>
          <t>Med</t>
        </is>
      </c>
      <c r="F22" s="9" t="inlineStr">
        <is>
          <t>No</t>
        </is>
      </c>
      <c r="G22" s="9" t="inlineStr">
        <is>
          <t>User</t>
        </is>
      </c>
      <c r="H22" s="9" t="inlineStr"/>
    </row>
    <row r="23">
      <c r="A23" s="9" t="n">
        <v>19</v>
      </c>
      <c r="B23" s="9" t="inlineStr">
        <is>
          <t>C.3 X31</t>
        </is>
      </c>
      <c r="C23" s="9" t="inlineStr">
        <is>
          <t>DISCOUNT ID vs CODE</t>
        </is>
      </c>
      <c r="D23" s="9" t="inlineStr">
        <is>
          <t>Perbedaan DISCOUNT ID vs DISCOUNT CODE? Untuk LPAID1117 sama, untuk PPA Telkomsel beda. Semantics?</t>
        </is>
      </c>
      <c r="E23" s="9" t="inlineStr">
        <is>
          <t>Med</t>
        </is>
      </c>
      <c r="F23" s="9" t="inlineStr">
        <is>
          <t>No</t>
        </is>
      </c>
      <c r="G23" s="9" t="inlineStr">
        <is>
          <t>Principal Levi's</t>
        </is>
      </c>
      <c r="H23" s="9" t="inlineStr"/>
    </row>
    <row r="24">
      <c r="A24" s="8" t="n">
        <v>20</v>
      </c>
      <c r="B24" s="8" t="inlineStr">
        <is>
          <t>C.3 X31</t>
        </is>
      </c>
      <c r="C24" s="8" t="inlineStr">
        <is>
          <t>Discount accounting</t>
        </is>
      </c>
      <c r="D24" s="8" t="inlineStr">
        <is>
          <t>Discount: (a) line di SO/invoice kurang revenue, (b) journal terpisah ke 'Promotion Expense' + receivable ke principal? Berbeda per CRM vs PPA Telkomsel (co-op reimburse)?</t>
        </is>
      </c>
      <c r="E24" s="8" t="inlineStr">
        <is>
          <t>High</t>
        </is>
      </c>
      <c r="F24" s="8" t="inlineStr">
        <is>
          <t>Yes</t>
        </is>
      </c>
      <c r="G24" s="8" t="inlineStr">
        <is>
          <t>User / Tax consultant</t>
        </is>
      </c>
      <c r="H24" s="8" t="inlineStr"/>
    </row>
    <row r="25">
      <c r="A25" s="10" t="n">
        <v>21</v>
      </c>
      <c r="B25" s="10" t="inlineStr">
        <is>
          <t>C.3 X31</t>
        </is>
      </c>
      <c r="C25" s="10" t="inlineStr">
        <is>
          <t>Kolom 24-25 X31</t>
        </is>
      </c>
      <c r="D25" s="10" t="inlineStr">
        <is>
          <t>Sample tampilkan staff name + datetime — confirm 2 kolom terpisah?</t>
        </is>
      </c>
      <c r="E25" s="10" t="inlineStr">
        <is>
          <t>Low</t>
        </is>
      </c>
      <c r="F25" s="10" t="inlineStr">
        <is>
          <t>No</t>
        </is>
      </c>
      <c r="G25" s="10" t="inlineStr">
        <is>
          <t>XStore</t>
        </is>
      </c>
      <c r="H25" s="10" t="inlineStr"/>
    </row>
    <row r="26">
      <c r="A26" s="8" t="n">
        <v>22</v>
      </c>
      <c r="B26" s="8" t="inlineStr">
        <is>
          <t>C.4 Tax</t>
        </is>
      </c>
      <c r="C26" s="8" t="inlineStr">
        <is>
          <t>PMK 131 vs standar</t>
        </is>
      </c>
      <c r="D26" s="8" t="inlineStr">
        <is>
          <t>Levi's wajib e-Faktur Pajakku? Pakai custom_coretax PMK 131 fiscal position atau cukup account.tax standar?</t>
        </is>
      </c>
      <c r="E26" s="8" t="inlineStr">
        <is>
          <t>High</t>
        </is>
      </c>
      <c r="F26" s="8" t="inlineStr">
        <is>
          <t>Yes</t>
        </is>
      </c>
      <c r="G26" s="8" t="inlineStr">
        <is>
          <t>Tax consultant</t>
        </is>
      </c>
      <c r="H26" s="8" t="inlineStr"/>
    </row>
    <row r="27">
      <c r="A27" s="8" t="n">
        <v>23</v>
      </c>
      <c r="B27" s="8" t="inlineStr">
        <is>
          <t>C.4 Tax</t>
        </is>
      </c>
      <c r="C27" s="8" t="inlineStr">
        <is>
          <t>PPN 11/12 formula</t>
        </is>
      </c>
      <c r="D27" s="8" t="inlineStr">
        <is>
          <t>Formula tax base = gross/1.11 atau gross × (11/12)/1.10? Rounding policy? Sample: 999,900/1.11 = 900,810.81 → file tampil 900,810 + 99,090.</t>
        </is>
      </c>
      <c r="E27" s="8" t="inlineStr">
        <is>
          <t>High</t>
        </is>
      </c>
      <c r="F27" s="8" t="inlineStr">
        <is>
          <t>Yes</t>
        </is>
      </c>
      <c r="G27" s="8" t="inlineStr">
        <is>
          <t>Tax consultant</t>
        </is>
      </c>
      <c r="H27" s="8" t="inlineStr"/>
    </row>
    <row r="28">
      <c r="A28" s="8" t="n">
        <v>24</v>
      </c>
      <c r="B28" s="8" t="inlineStr">
        <is>
          <t>C.4 Tax</t>
        </is>
      </c>
      <c r="C28" s="8" t="inlineStr">
        <is>
          <t>Revenue split</t>
        </is>
      </c>
      <c r="D28" s="8" t="inlineStr">
        <is>
          <t>Sales journal: revenue 1 akun tunggal atau pecah per CATEGORY/CLASS via analytic?</t>
        </is>
      </c>
      <c r="E28" s="8" t="inlineStr">
        <is>
          <t>High</t>
        </is>
      </c>
      <c r="F28" s="8" t="inlineStr">
        <is>
          <t>Yes</t>
        </is>
      </c>
      <c r="G28" s="8" t="inlineStr">
        <is>
          <t>User / Accountant</t>
        </is>
      </c>
      <c r="H28" s="8" t="inlineStr"/>
    </row>
    <row r="29">
      <c r="A29" s="8" t="n">
        <v>25</v>
      </c>
      <c r="B29" s="8" t="inlineStr">
        <is>
          <t>C.4 Tax</t>
        </is>
      </c>
      <c r="C29" s="8" t="inlineStr">
        <is>
          <t>Cash account</t>
        </is>
      </c>
      <c r="D29" s="8" t="inlineStr">
        <is>
          <t>POS sales: akun bank/cash/e-wallet/QRIS — apa saja perlu disiapkan?</t>
        </is>
      </c>
      <c r="E29" s="8" t="inlineStr">
        <is>
          <t>High</t>
        </is>
      </c>
      <c r="F29" s="8" t="inlineStr">
        <is>
          <t>Yes</t>
        </is>
      </c>
      <c r="G29" s="8" t="inlineStr">
        <is>
          <t>User / Accountant</t>
        </is>
      </c>
      <c r="H29" s="8" t="inlineStr"/>
    </row>
    <row r="30">
      <c r="A30" s="8" t="n">
        <v>26</v>
      </c>
      <c r="B30" s="8" t="inlineStr">
        <is>
          <t>C.4 Tax</t>
        </is>
      </c>
      <c r="C30" s="8" t="inlineStr">
        <is>
          <t>COA template</t>
        </is>
      </c>
      <c r="D30" s="8" t="inlineStr">
        <is>
          <t>Pakai l10n_id standar atau custom Levi's retail COA? Jika custom, supply file COA.</t>
        </is>
      </c>
      <c r="E30" s="8" t="inlineStr">
        <is>
          <t>High</t>
        </is>
      </c>
      <c r="F30" s="8" t="inlineStr">
        <is>
          <t>Yes</t>
        </is>
      </c>
      <c r="G30" s="8" t="inlineStr">
        <is>
          <t>User / Accountant</t>
        </is>
      </c>
      <c r="H30" s="8" t="inlineStr"/>
    </row>
    <row r="31">
      <c r="A31" s="8" t="n">
        <v>27</v>
      </c>
      <c r="B31" s="8" t="inlineStr">
        <is>
          <t>C.5 Tenant</t>
        </is>
      </c>
      <c r="C31" s="8" t="inlineStr">
        <is>
          <t>Modul list final</t>
        </is>
      </c>
      <c r="D31" s="8" t="inlineStr">
        <is>
          <t>Confirm install: purchase, sale_management, account, l10n_id, l10n_id_efaktur, custom_coretax. Skip: stock, point_of_sale. custom_pdp_* yang mana (audit, masking, classification)? custom_hub_console?</t>
        </is>
      </c>
      <c r="E31" s="8" t="inlineStr">
        <is>
          <t>High</t>
        </is>
      </c>
      <c r="F31" s="8" t="inlineStr">
        <is>
          <t>Yes</t>
        </is>
      </c>
      <c r="G31" s="8" t="inlineStr">
        <is>
          <t>User</t>
        </is>
      </c>
      <c r="H31" s="8" t="inlineStr"/>
    </row>
    <row r="32">
      <c r="A32" s="9" t="n">
        <v>28</v>
      </c>
      <c r="B32" s="9" t="inlineStr">
        <is>
          <t>C.5 Tenant</t>
        </is>
      </c>
      <c r="C32" s="9" t="inlineStr">
        <is>
          <t>Multi-store readiness</t>
        </is>
      </c>
      <c r="D32" s="9" t="inlineStr">
        <is>
          <t>Saat ini 1 store. Siapkan struktur branch (l10n_id branch) atau warehouse dari awal? Atau analytic account?</t>
        </is>
      </c>
      <c r="E32" s="9" t="inlineStr">
        <is>
          <t>Med</t>
        </is>
      </c>
      <c r="F32" s="9" t="inlineStr">
        <is>
          <t>No</t>
        </is>
      </c>
      <c r="G32" s="9" t="inlineStr">
        <is>
          <t>User</t>
        </is>
      </c>
      <c r="H32" s="9" t="inlineStr"/>
    </row>
    <row r="33">
      <c r="A33" s="10" t="n">
        <v>29</v>
      </c>
      <c r="B33" s="10" t="inlineStr">
        <is>
          <t>C.5 Tenant</t>
        </is>
      </c>
      <c r="C33" s="10" t="inlineStr">
        <is>
          <t>FTP integration roadmap</t>
        </is>
      </c>
      <c r="D33" s="10" t="inlineStr">
        <is>
          <t>Tahap 2: FTP drop folder + Odoo cron pickup. Skema folder &amp; jadwal?</t>
        </is>
      </c>
      <c r="E33" s="10" t="inlineStr">
        <is>
          <t>Low</t>
        </is>
      </c>
      <c r="F33" s="10" t="inlineStr">
        <is>
          <t>No</t>
        </is>
      </c>
      <c r="G33" s="10" t="inlineStr">
        <is>
          <t>User / Principal</t>
        </is>
      </c>
      <c r="H33" s="10" t="inlineStr"/>
    </row>
    <row r="34">
      <c r="A34" s="8" t="n">
        <v>30</v>
      </c>
      <c r="B34" s="8" t="inlineStr">
        <is>
          <t>C.5 Tenant</t>
        </is>
      </c>
      <c r="C34" s="8" t="inlineStr">
        <is>
          <t>Vendor PO awal</t>
        </is>
      </c>
      <c r="D34" s="8" t="inlineStr">
        <is>
          <t>Vendor lokal pertama yang harus dibuat? (Levi Strauss Indonesia? Supplier lokal?) Belum ada file vendor master.</t>
        </is>
      </c>
      <c r="E34" s="8" t="inlineStr">
        <is>
          <t>High</t>
        </is>
      </c>
      <c r="F34" s="8" t="inlineStr">
        <is>
          <t>Yes</t>
        </is>
      </c>
      <c r="G34" s="8" t="inlineStr">
        <is>
          <t>User</t>
        </is>
      </c>
      <c r="H34" s="8" t="inlineStr"/>
    </row>
    <row r="35">
      <c r="A35" s="8" t="n">
        <v>31</v>
      </c>
      <c r="B35" s="8" t="inlineStr">
        <is>
          <t>C.5 Tenant</t>
        </is>
      </c>
      <c r="C35" s="8" t="inlineStr">
        <is>
          <t>Pajakku ASPP</t>
        </is>
      </c>
      <c r="D35" s="8" t="inlineStr">
        <is>
          <t>Credential per-tenant atau shared platform? Untuk e-Faktur Levi's perlu NPWP + sertifikat digital sendiri.</t>
        </is>
      </c>
      <c r="E35" s="8" t="inlineStr">
        <is>
          <t>High</t>
        </is>
      </c>
      <c r="F35" s="8" t="inlineStr">
        <is>
          <t>Yes</t>
        </is>
      </c>
      <c r="G35" s="8" t="inlineStr">
        <is>
          <t>User / Tax consultant</t>
        </is>
      </c>
      <c r="H35" s="8" t="inlineStr"/>
    </row>
    <row r="36">
      <c r="A36" s="8" t="n">
        <v>32</v>
      </c>
      <c r="B36" s="8" t="inlineStr">
        <is>
          <t>C.5 Tenant</t>
        </is>
      </c>
      <c r="C36" s="8" t="inlineStr">
        <is>
          <t>Company master data</t>
        </is>
      </c>
      <c r="D36" s="8" t="inlineStr">
        <is>
          <t>NPWP 16 digit, alamat, sertifikat e-Faktur, KLU, KPP terdaftar PT Era Busana Retailindo — belum tersedia.</t>
        </is>
      </c>
      <c r="E36" s="8" t="inlineStr">
        <is>
          <t>High</t>
        </is>
      </c>
      <c r="F36" s="8" t="inlineStr">
        <is>
          <t>Yes</t>
        </is>
      </c>
      <c r="G36" s="8" t="inlineStr">
        <is>
          <t>User</t>
        </is>
      </c>
      <c r="H36" s="8" t="inlineStr"/>
    </row>
    <row r="37">
      <c r="A37" s="9" t="n">
        <v>33</v>
      </c>
      <c r="B37" s="9" t="inlineStr">
        <is>
          <t>C.6 Quality</t>
        </is>
      </c>
      <c r="C37" s="9" t="inlineStr">
        <is>
          <t>Encoding chars lain</t>
        </is>
      </c>
      <c r="D37" s="9" t="inlineStr">
        <is>
          <t>Sumber XLSX corrupt � di tempat ®. Confirm tidak ada karakter lain yang corrupt (™, é, ñ, dll)?</t>
        </is>
      </c>
      <c r="E37" s="9" t="inlineStr">
        <is>
          <t>Med</t>
        </is>
      </c>
      <c r="F37" s="9" t="inlineStr">
        <is>
          <t>No</t>
        </is>
      </c>
      <c r="G37" s="9" t="inlineStr">
        <is>
          <t>User / XStore</t>
        </is>
      </c>
      <c r="H37" s="9" t="inlineStr"/>
    </row>
    <row r="38">
      <c r="A38" s="10" t="n">
        <v>34</v>
      </c>
      <c r="B38" s="10" t="inlineStr">
        <is>
          <t>C.6 Quality</t>
        </is>
      </c>
      <c r="C38" s="10" t="inlineStr">
        <is>
          <t>X32P kolom duplikat</t>
        </is>
      </c>
      <c r="D38" s="10" t="inlineStr">
        <is>
          <t>POSTVOID ITEM SALE muncul 2× di header X32P. Kolom 19 kemungkinan POSTVOID SALES RETAIL. Confirm (non-blocking selama X32P di-skip).</t>
        </is>
      </c>
      <c r="E38" s="10" t="inlineStr">
        <is>
          <t>Low</t>
        </is>
      </c>
      <c r="F38" s="10" t="inlineStr">
        <is>
          <t>No</t>
        </is>
      </c>
      <c r="G38" s="10" t="inlineStr">
        <is>
          <t>XStore</t>
        </is>
      </c>
      <c r="H38" s="10" t="inlineStr"/>
    </row>
    <row r="39">
      <c r="A39" s="10" t="n">
        <v>35</v>
      </c>
      <c r="B39" s="10" t="inlineStr">
        <is>
          <t>C.6 Quality</t>
        </is>
      </c>
      <c r="C39" s="10" t="inlineStr">
        <is>
          <t>X20 CSV re-export</t>
        </is>
      </c>
      <c r="D39" s="10" t="inlineStr">
        <is>
          <t>Minta XStore re-export X20 dengan format clean (single header, UTF-8). Non-blocking.</t>
        </is>
      </c>
      <c r="E39" s="10" t="inlineStr">
        <is>
          <t>Low</t>
        </is>
      </c>
      <c r="F39" s="10" t="inlineStr">
        <is>
          <t>No</t>
        </is>
      </c>
      <c r="G39" s="10" t="inlineStr">
        <is>
          <t>XStore</t>
        </is>
      </c>
      <c r="H39" s="10" t="inlineStr"/>
    </row>
    <row r="40">
      <c r="A40" s="10" t="n">
        <v>36</v>
      </c>
      <c r="B40" s="10" t="inlineStr">
        <is>
          <t>C.6 Quality</t>
        </is>
      </c>
      <c r="C40" s="10" t="inlineStr">
        <is>
          <t>Grand Total row X24DN</t>
        </is>
      </c>
      <c r="D40" s="10" t="inlineStr">
        <is>
          <t>Baris terakhir X24DN = Grand Total → skip saat parse (sudah noted, internal handling).</t>
        </is>
      </c>
      <c r="E40" s="10" t="inlineStr">
        <is>
          <t>Low</t>
        </is>
      </c>
      <c r="F40" s="10" t="inlineStr">
        <is>
          <t>No</t>
        </is>
      </c>
      <c r="G40" s="10" t="inlineStr">
        <is>
          <t>Internal</t>
        </is>
      </c>
      <c r="H40" s="1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40" customWidth="1" min="4" max="4"/>
  </cols>
  <sheetData>
    <row r="1">
      <c r="A1" s="5" t="inlineStr">
        <is>
          <t>Tenant: era_busana_retailindo (PT Era Busana Retailindo) — Module install proposal</t>
        </is>
      </c>
    </row>
    <row r="3">
      <c r="A3" s="3" t="inlineStr">
        <is>
          <t>Module</t>
        </is>
      </c>
      <c r="B3" s="3" t="inlineStr">
        <is>
          <t>Install?</t>
        </is>
      </c>
      <c r="C3" s="3" t="inlineStr">
        <is>
          <t>Alasan</t>
        </is>
      </c>
      <c r="D3" s="3" t="inlineStr">
        <is>
          <t>Status / Catatan</t>
        </is>
      </c>
    </row>
    <row r="4">
      <c r="A4" s="4" t="inlineStr">
        <is>
          <t>base, web</t>
        </is>
      </c>
      <c r="B4" s="4" t="inlineStr">
        <is>
          <t>YES</t>
        </is>
      </c>
      <c r="C4" s="4" t="inlineStr">
        <is>
          <t>Core Odoo</t>
        </is>
      </c>
      <c r="D4" s="4" t="inlineStr">
        <is>
          <t>Auto-install</t>
        </is>
      </c>
    </row>
    <row r="5">
      <c r="A5" s="4" t="inlineStr">
        <is>
          <t>purchase</t>
        </is>
      </c>
      <c r="B5" s="4" t="inlineStr">
        <is>
          <t>YES</t>
        </is>
      </c>
      <c r="C5" s="4" t="inlineStr">
        <is>
          <t>Scope user: PO untuk vendor lokal</t>
        </is>
      </c>
      <c r="D5" s="4" t="inlineStr">
        <is>
          <t>Confirm vendor list awal (C.5 #30)</t>
        </is>
      </c>
    </row>
    <row r="6">
      <c r="A6" s="4" t="inlineStr">
        <is>
          <t>sale_management</t>
        </is>
      </c>
      <c r="B6" s="4" t="inlineStr">
        <is>
          <t>YES</t>
        </is>
      </c>
      <c r="C6" s="4" t="inlineStr">
        <is>
          <t>Sales POS dari XStore masuk Odoo sebagai SO/Invoice</t>
        </is>
      </c>
      <c r="D6" s="4" t="inlineStr">
        <is>
          <t>Confirmed</t>
        </is>
      </c>
    </row>
    <row r="7">
      <c r="A7" s="4" t="inlineStr">
        <is>
          <t>account</t>
        </is>
      </c>
      <c r="B7" s="4" t="inlineStr">
        <is>
          <t>YES</t>
        </is>
      </c>
      <c r="C7" s="4" t="inlineStr">
        <is>
          <t>Scope user: FICO</t>
        </is>
      </c>
      <c r="D7" s="4" t="inlineStr">
        <is>
          <t>Confirmed</t>
        </is>
      </c>
    </row>
    <row r="8">
      <c r="A8" s="4" t="inlineStr">
        <is>
          <t>l10n_id</t>
        </is>
      </c>
      <c r="B8" s="4" t="inlineStr">
        <is>
          <t>YES</t>
        </is>
      </c>
      <c r="C8" s="4" t="inlineStr">
        <is>
          <t>Localization Indonesia (COA, taxes)</t>
        </is>
      </c>
      <c r="D8" s="4" t="inlineStr">
        <is>
          <t>Confirm COA standard atau custom (C.4 #26)</t>
        </is>
      </c>
    </row>
    <row r="9">
      <c r="A9" s="4" t="inlineStr">
        <is>
          <t>l10n_id_efaktur</t>
        </is>
      </c>
      <c r="B9" s="4" t="inlineStr">
        <is>
          <t>YES</t>
        </is>
      </c>
      <c r="C9" s="4" t="inlineStr">
        <is>
          <t>e-Faktur Pajakku output</t>
        </is>
      </c>
      <c r="D9" s="4" t="inlineStr">
        <is>
          <t>Perlu sertifikat &amp; credential (C.5 #31)</t>
        </is>
      </c>
    </row>
    <row r="10">
      <c r="A10" s="4" t="inlineStr">
        <is>
          <t>custom_coretax</t>
        </is>
      </c>
      <c r="B10" s="4" t="inlineStr">
        <is>
          <t>TBD</t>
        </is>
      </c>
      <c r="C10" s="4" t="inlineStr">
        <is>
          <t>PMK 131 fiscal positions &amp; PPN 11/12 policy</t>
        </is>
      </c>
      <c r="D10" s="4" t="inlineStr">
        <is>
          <t>Confirm dengan tax consultant (C.4 #22)</t>
        </is>
      </c>
    </row>
    <row r="11">
      <c r="A11" s="4" t="inlineStr">
        <is>
          <t>custom_pdp_masking</t>
        </is>
      </c>
      <c r="B11" s="4" t="inlineStr">
        <is>
          <t>YES</t>
        </is>
      </c>
      <c r="C11" s="4" t="inlineStr">
        <is>
          <t>Mask PII customer (member ID = phone)</t>
        </is>
      </c>
      <c r="D11" s="4" t="inlineStr">
        <is>
          <t>Wajib untuk compliance UU PDP</t>
        </is>
      </c>
    </row>
    <row r="12">
      <c r="A12" s="4" t="inlineStr">
        <is>
          <t>custom_pdp_audit</t>
        </is>
      </c>
      <c r="B12" s="4" t="inlineStr">
        <is>
          <t>YES</t>
        </is>
      </c>
      <c r="C12" s="4" t="inlineStr">
        <is>
          <t>Audit log akses data sensitif</t>
        </is>
      </c>
      <c r="D12" s="4" t="inlineStr">
        <is>
          <t>Wajib</t>
        </is>
      </c>
    </row>
    <row r="13">
      <c r="A13" s="4" t="inlineStr">
        <is>
          <t>custom_pdp_classification</t>
        </is>
      </c>
      <c r="B13" s="4" t="inlineStr">
        <is>
          <t>TBD</t>
        </is>
      </c>
      <c r="C13" s="4" t="inlineStr">
        <is>
          <t>Klasifikasi data PII</t>
        </is>
      </c>
      <c r="D13" s="4" t="inlineStr">
        <is>
          <t>Confirm scope (C.5 #27)</t>
        </is>
      </c>
    </row>
    <row r="14">
      <c r="A14" s="4" t="inlineStr">
        <is>
          <t>custom_hub_console</t>
        </is>
      </c>
      <c r="B14" s="4" t="inlineStr">
        <is>
          <t>TBD</t>
        </is>
      </c>
      <c r="C14" s="4" t="inlineStr">
        <is>
          <t>Admin tenant UI</t>
        </is>
      </c>
      <c r="D14" s="4" t="inlineStr">
        <is>
          <t>Confirm jika user butuh self-admin (C.5 #27)</t>
        </is>
      </c>
    </row>
    <row r="15">
      <c r="A15" s="4" t="inlineStr">
        <is>
          <t>stock</t>
        </is>
      </c>
      <c r="B15" s="4" t="inlineStr">
        <is>
          <t>NO</t>
        </is>
      </c>
      <c r="C15" s="4" t="inlineStr">
        <is>
          <t>GR &amp; inventory di-handle XStore</t>
        </is>
      </c>
      <c r="D15" s="4" t="inlineStr">
        <is>
          <t>Skip — kecuali nanti FICO butuh valuasi</t>
        </is>
      </c>
    </row>
    <row r="16">
      <c r="A16" s="4" t="inlineStr">
        <is>
          <t>point_of_sale</t>
        </is>
      </c>
      <c r="B16" s="4" t="inlineStr">
        <is>
          <t>NO</t>
        </is>
      </c>
      <c r="C16" s="4" t="inlineStr">
        <is>
          <t>POS native Odoo tidak dipakai (XStore yg POS)</t>
        </is>
      </c>
      <c r="D16" s="4" t="inlineStr">
        <is>
          <t>Skip</t>
        </is>
      </c>
    </row>
    <row r="17">
      <c r="A17" s="4" t="inlineStr">
        <is>
          <t>mrp, project, hr, website, mass_mailing</t>
        </is>
      </c>
      <c r="B17" s="4" t="inlineStr">
        <is>
          <t>NO</t>
        </is>
      </c>
      <c r="C17" s="4" t="inlineStr">
        <is>
          <t>Out of scope</t>
        </is>
      </c>
      <c r="D17" s="4" t="inlineStr">
        <is>
          <t>Skip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70" customWidth="1" min="1" max="1"/>
    <col width="50" customWidth="1" min="2" max="2"/>
    <col width="30" customWidth="1" min="3" max="3"/>
  </cols>
  <sheetData>
    <row r="1">
      <c r="A1" s="5" t="inlineStr">
        <is>
          <t>File / folder yang akan dibuat saat eksekusi migration (BELUM DIBUAT)</t>
        </is>
      </c>
    </row>
    <row r="3">
      <c r="A3" s="3" t="inlineStr">
        <is>
          <t>Path</t>
        </is>
      </c>
      <c r="B3" s="3" t="inlineStr">
        <is>
          <t>Tujuan</t>
        </is>
      </c>
      <c r="C3" s="3" t="inlineStr">
        <is>
          <t>Sumber data</t>
        </is>
      </c>
    </row>
    <row r="4">
      <c r="A4" s="4" t="inlineStr">
        <is>
          <t>addons/_tenants/era_busana_retailindo/__manifest__.py</t>
        </is>
      </c>
      <c r="B4" s="4" t="inlineStr">
        <is>
          <t>Tenant module manifest</t>
        </is>
      </c>
      <c r="C4" s="4" t="inlineStr">
        <is>
          <t>Manual</t>
        </is>
      </c>
    </row>
    <row r="5">
      <c r="A5" s="4" t="inlineStr">
        <is>
          <t>addons/_tenants/era_busana_retailindo/__init__.py</t>
        </is>
      </c>
      <c r="B5" s="4" t="inlineStr">
        <is>
          <t>Module init</t>
        </is>
      </c>
      <c r="C5" s="4" t="inlineStr">
        <is>
          <t>Manual</t>
        </is>
      </c>
    </row>
    <row r="6">
      <c r="A6" s="4" t="inlineStr">
        <is>
          <t>addons/_tenants/era_busana_retailindo/data/res_company.xml</t>
        </is>
      </c>
      <c r="B6" s="4" t="inlineStr">
        <is>
          <t>Company master (NPWP, alamat, sertifikat)</t>
        </is>
      </c>
      <c r="C6" s="4" t="inlineStr">
        <is>
          <t>C.5 #32</t>
        </is>
      </c>
    </row>
    <row r="7">
      <c r="A7" s="4" t="inlineStr">
        <is>
          <t>addons/_tenants/era_busana_retailindo/data/res_partner_walkin.xml</t>
        </is>
      </c>
      <c r="B7" s="4" t="inlineStr">
        <is>
          <t>Generic walk-in customer</t>
        </is>
      </c>
      <c r="C7" s="4" t="inlineStr">
        <is>
          <t>Hardcode</t>
        </is>
      </c>
    </row>
    <row r="8">
      <c r="A8" s="4" t="inlineStr">
        <is>
          <t>addons/_tenants/era_busana_retailindo/data/res_partner_vendors.xml</t>
        </is>
      </c>
      <c r="B8" s="4" t="inlineStr">
        <is>
          <t>Vendor lokal awal</t>
        </is>
      </c>
      <c r="C8" s="4" t="inlineStr">
        <is>
          <t>C.5 #30</t>
        </is>
      </c>
    </row>
    <row r="9">
      <c r="A9" s="4" t="inlineStr">
        <is>
          <t>addons/_tenants/era_busana_retailindo/data/product_category.xml</t>
        </is>
      </c>
      <c r="B9" s="4" t="inlineStr">
        <is>
          <t>Category 3-level (CATEGORY/CLASS/SUBCLASS)</t>
        </is>
      </c>
      <c r="C9" s="4" t="inlineStr">
        <is>
          <t>X101 dedup distinct</t>
        </is>
      </c>
    </row>
    <row r="10">
      <c r="A10" s="4" t="inlineStr">
        <is>
          <t>addons/_tenants/era_busana_retailindo/data/product_attribute.xml</t>
        </is>
      </c>
      <c r="B10" s="4" t="inlineStr">
        <is>
          <t>Attribute Size + Inseam + values</t>
        </is>
      </c>
      <c r="C10" s="4" t="inlineStr">
        <is>
          <t>X101 distinct</t>
        </is>
      </c>
    </row>
    <row r="11">
      <c r="A11" s="4" t="inlineStr">
        <is>
          <t>addons/_tenants/era_busana_retailindo/data/product_template.csv</t>
        </is>
      </c>
      <c r="B11" s="4" t="inlineStr">
        <is>
          <t>14,885 template</t>
        </is>
      </c>
      <c r="C11" s="4" t="inlineStr">
        <is>
          <t>X101 grouped by PRODUCT CODE</t>
        </is>
      </c>
    </row>
    <row r="12">
      <c r="A12" s="4" t="inlineStr">
        <is>
          <t>addons/_tenants/era_busana_retailindo/data/product_product.csv</t>
        </is>
      </c>
      <c r="B12" s="4" t="inlineStr">
        <is>
          <t>159,658 variant</t>
        </is>
      </c>
      <c r="C12" s="4" t="inlineStr">
        <is>
          <t>X101 dedup by PROD SKU</t>
        </is>
      </c>
    </row>
    <row r="13">
      <c r="A13" s="4" t="inlineStr">
        <is>
          <t>addons/_tenants/era_busana_retailindo/data/product_pricelist.xml</t>
        </is>
      </c>
      <c r="B13" s="4" t="inlineStr">
        <is>
          <t>Pricelist MARKET</t>
        </is>
      </c>
      <c r="C13" s="4" t="inlineStr">
        <is>
          <t>X101</t>
        </is>
      </c>
    </row>
    <row r="14">
      <c r="A14" s="4" t="inlineStr">
        <is>
          <t>addons/_tenants/era_busana_retailindo/data/account_tax_setup.xml</t>
        </is>
      </c>
      <c r="B14" s="4" t="inlineStr">
        <is>
          <t>PPN 11/12 setup (jika tidak via custom_coretax)</t>
        </is>
      </c>
      <c r="C14" s="4" t="inlineStr">
        <is>
          <t>C.4 #22-23</t>
        </is>
      </c>
    </row>
    <row r="15">
      <c r="A15" s="4" t="inlineStr">
        <is>
          <t>scripts/tenants/era_busana_retailindo/import_x101.py</t>
        </is>
      </c>
      <c r="B15" s="4" t="inlineStr">
        <is>
          <t>ETL X101 → product master</t>
        </is>
      </c>
      <c r="C15" s="4" t="inlineStr">
        <is>
          <t>X101 file</t>
        </is>
      </c>
    </row>
    <row r="16">
      <c r="A16" s="4" t="inlineStr">
        <is>
          <t>scripts/tenants/era_busana_retailindo/import_x24dn_x31.py</t>
        </is>
      </c>
      <c r="B16" s="4" t="inlineStr">
        <is>
          <t>ETL Sales + Discount per TRANSNUM</t>
        </is>
      </c>
      <c r="C16" s="4" t="inlineStr">
        <is>
          <t>X24DN + X31</t>
        </is>
      </c>
    </row>
    <row r="17">
      <c r="A17" s="4" t="inlineStr">
        <is>
          <t>scripts/tenants/era_busana_retailindo/reconcile.py</t>
        </is>
      </c>
      <c r="B17" s="4" t="inlineStr">
        <is>
          <t>Validasi total revenue &amp; tax</t>
        </is>
      </c>
      <c r="C17" s="4" t="inlineStr">
        <is>
          <t>Sales journal vs file</t>
        </is>
      </c>
    </row>
    <row r="18">
      <c r="A18" s="4" t="inlineStr">
        <is>
          <t>docker-compose.multitenant.yml (edit)</t>
        </is>
      </c>
      <c r="B18" s="4" t="inlineStr">
        <is>
          <t>Register tenant DB</t>
        </is>
      </c>
      <c r="C18" s="4" t="inlineStr">
        <is>
          <t>Add 'era_busana_retailindo' to LIST_DB</t>
        </is>
      </c>
    </row>
    <row r="19">
      <c r="A19" s="4" t="inlineStr">
        <is>
          <t>odoo/odoo.conf.tmpl (verify)</t>
        </is>
      </c>
      <c r="B19" s="4" t="inlineStr">
        <is>
          <t>dbfilter route</t>
        </is>
      </c>
      <c r="C19" s="4" t="inlineStr">
        <is>
          <t>Sudah handle multi-tenant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12" customWidth="1" min="4" max="4"/>
  </cols>
  <sheetData>
    <row r="1">
      <c r="A1" s="5" t="inlineStr">
        <is>
          <t>Post-migration verification checklist</t>
        </is>
      </c>
    </row>
    <row r="3">
      <c r="A3" s="3" t="inlineStr">
        <is>
          <t>#</t>
        </is>
      </c>
      <c r="B3" s="3" t="inlineStr">
        <is>
          <t>Test</t>
        </is>
      </c>
      <c r="C3" s="3" t="inlineStr">
        <is>
          <t>Expected Result</t>
        </is>
      </c>
      <c r="D3" s="3" t="inlineStr">
        <is>
          <t>Status</t>
        </is>
      </c>
    </row>
    <row r="4">
      <c r="A4" s="4" t="n">
        <v>1</v>
      </c>
      <c r="B4" s="4" t="inlineStr">
        <is>
          <t>Tenant DB provision</t>
        </is>
      </c>
      <c r="C4" s="4" t="inlineStr">
        <is>
          <t>DB 'era_busana_retailindo' ada di Postgres, dbfilter route → instance Odoo public</t>
        </is>
      </c>
      <c r="D4" s="4" t="inlineStr">
        <is>
          <t>[ ]</t>
        </is>
      </c>
    </row>
    <row r="5">
      <c r="A5" s="4" t="n">
        <v>2</v>
      </c>
      <c r="B5" s="4" t="inlineStr">
        <is>
          <t>Module install</t>
        </is>
      </c>
      <c r="C5" s="4" t="inlineStr">
        <is>
          <t>`-i purchase,sale_management,account,l10n_id,l10n_id_efaktur,custom_coretax,custom_pdp_masking,custom_pdp_audit --stop-after-init` exit 0</t>
        </is>
      </c>
      <c r="D5" s="4" t="inlineStr">
        <is>
          <t>[ ]</t>
        </is>
      </c>
    </row>
    <row r="6">
      <c r="A6" s="4" t="n">
        <v>3</v>
      </c>
      <c r="B6" s="4" t="inlineStr">
        <is>
          <t>Product master dry-run (100 SKU)</t>
        </is>
      </c>
      <c r="C6" s="4" t="inlineStr">
        <is>
          <t>100 template/variant ter-load, attribute Size/Inseam ter-generate benar</t>
        </is>
      </c>
      <c r="D6" s="4" t="inlineStr">
        <is>
          <t>[ ]</t>
        </is>
      </c>
    </row>
    <row r="7">
      <c r="A7" s="4" t="n">
        <v>4</v>
      </c>
      <c r="B7" s="4" t="inlineStr">
        <is>
          <t>Product master full</t>
        </is>
      </c>
      <c r="C7" s="4" t="inlineStr">
        <is>
          <t>159,658 SKU (post-dedup) ter-load tanpa error, total &lt; 15 menit</t>
        </is>
      </c>
      <c r="D7" s="4" t="inlineStr">
        <is>
          <t>[ ]</t>
        </is>
      </c>
    </row>
    <row r="8">
      <c r="A8" s="4" t="n">
        <v>5</v>
      </c>
      <c r="B8" s="4" t="inlineStr">
        <is>
          <t>Sales dry-run X24DN</t>
        </is>
      </c>
      <c r="C8" s="4" t="inlineStr">
        <is>
          <t>330 SO created dari 945 line; PPN 11% reconcile (sample 999,900 inc → 900,810 base + 99,090 tax)</t>
        </is>
      </c>
      <c r="D8" s="4" t="inlineStr">
        <is>
          <t>[ ]</t>
        </is>
      </c>
    </row>
    <row r="9">
      <c r="A9" s="4" t="n">
        <v>6</v>
      </c>
      <c r="B9" s="4" t="inlineStr">
        <is>
          <t>Discount dry-run X31</t>
        </is>
      </c>
      <c r="C9" s="4" t="inlineStr">
        <is>
          <t>33 promo lines ter-apply ke SO line yang benar (via TRANSNUM); accounting sesuai keputusan C.3 #20</t>
        </is>
      </c>
      <c r="D9" s="4" t="inlineStr">
        <is>
          <t>[ ]</t>
        </is>
      </c>
    </row>
    <row r="10">
      <c r="A10" s="4" t="n">
        <v>7</v>
      </c>
      <c r="B10" s="4" t="inlineStr">
        <is>
          <t>FICO reconcile</t>
        </is>
      </c>
      <c r="C10" s="4" t="inlineStr">
        <is>
          <t>Total revenue + total PPN di Odoo sales journal == total file X24DN</t>
        </is>
      </c>
      <c r="D10" s="4" t="inlineStr">
        <is>
          <t>[ ]</t>
        </is>
      </c>
    </row>
    <row r="11">
      <c r="A11" s="4" t="n">
        <v>8</v>
      </c>
      <c r="B11" s="4" t="inlineStr">
        <is>
          <t>PDP masking</t>
        </is>
      </c>
      <c r="C11" s="4" t="inlineStr">
        <is>
          <t>Member ID &amp; phone customer ter-mask sesuai role</t>
        </is>
      </c>
      <c r="D11" s="4" t="inlineStr">
        <is>
          <t>[ ]</t>
        </is>
      </c>
    </row>
    <row r="12">
      <c r="A12" s="4" t="n">
        <v>9</v>
      </c>
      <c r="B12" s="4" t="inlineStr">
        <is>
          <t>PDP audit log</t>
        </is>
      </c>
      <c r="C12" s="4" t="inlineStr">
        <is>
          <t>Akses data PII ter-log di custom_pdp_audit</t>
        </is>
      </c>
      <c r="D12" s="4" t="inlineStr">
        <is>
          <t>[ ]</t>
        </is>
      </c>
    </row>
    <row r="13">
      <c r="A13" s="4" t="n">
        <v>10</v>
      </c>
      <c r="B13" s="4" t="inlineStr">
        <is>
          <t>e-Faktur output</t>
        </is>
      </c>
      <c r="C13" s="4" t="inlineStr">
        <is>
          <t>Sample 1 invoice di-export ke format Pajakku, validasi XSD</t>
        </is>
      </c>
      <c r="D13" s="4" t="inlineStr">
        <is>
          <t>[ ]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2026-05-28T10:04:31Z</dcterms:created>
  <dcterms:modified xmlns:dcterms="http://purl.org/dc/terms/" xmlns:xsi="http://www.w3.org/2001/XMLSchema-instance" xsi:type="dcterms:W3CDTF">2026-05-28T10:04:31Z</dcterms:modified>
</cp:coreProperties>
</file>