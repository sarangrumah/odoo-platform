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ade\Downloads\"/>
    </mc:Choice>
  </mc:AlternateContent>
  <xr:revisionPtr revIDLastSave="0" documentId="13_ncr:1_{83B3C394-BE8D-48F7-9AC2-1023399BE3E4}" xr6:coauthVersionLast="47" xr6:coauthVersionMax="47" xr10:uidLastSave="{00000000-0000-0000-0000-000000000000}"/>
  <bookViews>
    <workbookView xWindow="-3840" yWindow="21585" windowWidth="29040" windowHeight="16440" activeTab="2" xr2:uid="{00000000-000D-0000-FFFF-FFFF00000000}"/>
  </bookViews>
  <sheets>
    <sheet name="00_README" sheetId="1" r:id="rId1"/>
    <sheet name="14_Company_Settings" sheetId="2" r:id="rId2"/>
    <sheet name="06_COA" sheetId="3" r:id="rId3"/>
    <sheet name="07_Taxes" sheetId="4" r:id="rId4"/>
    <sheet name="08_Journals" sheetId="5" r:id="rId5"/>
    <sheet name="09_Asset_Groups" sheetId="6" r:id="rId6"/>
    <sheet name="10_Asset_Locations" sheetId="7" r:id="rId7"/>
    <sheet name="01_Categories" sheetId="8" r:id="rId8"/>
    <sheet name="04_Customers" sheetId="9" r:id="rId9"/>
    <sheet name="05_Principals" sheetId="10" r:id="rId10"/>
    <sheet name="02_Products" sheetId="11" r:id="rId11"/>
    <sheet name="03_Rental_Pricing" sheetId="12" r:id="rId12"/>
    <sheet name="11_Drone_Kit_Components" sheetId="13" r:id="rId13"/>
    <sheet name="12_Damage_Tariffs" sheetId="14" r:id="rId14"/>
    <sheet name="13_Drone_Cards" sheetId="15" r:id="rId15"/>
    <sheet name="99_Reference_List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MJLltoiG4RxtL6UqAWkbMckozzXPYJ8HSaU+Ze/PhS0="/>
    </ext>
  </extLst>
</workbook>
</file>

<file path=xl/calcChain.xml><?xml version="1.0" encoding="utf-8"?>
<calcChain xmlns="http://schemas.openxmlformats.org/spreadsheetml/2006/main">
  <c r="K22" i="11" l="1"/>
  <c r="K21" i="11"/>
  <c r="K20" i="11"/>
  <c r="K19" i="11"/>
  <c r="K18" i="11"/>
  <c r="K17" i="11"/>
  <c r="K16" i="11"/>
  <c r="K15" i="11"/>
  <c r="K14" i="11"/>
  <c r="K13" i="11"/>
  <c r="K1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ID#AAAB5jFC3dc
Titie Wiji    (2026-05-18 15:52:20)
Pak @iing.risyanto@erajaya.com need help di sini ya
_Assigned to iing.risyanto_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wFKquk0xi4yOiXuDWAO391jV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ID#AAAB5jFC3dg
Titie Wiji    (2026-05-18 15:52:39)
sama di sini juga ya pak @iing.risyanto@erajaya.com
_Assigned to iing.risyanto_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IGlxujsOmP81+fLkSc937+QBHQ=="/>
    </ext>
  </extLst>
</comments>
</file>

<file path=xl/sharedStrings.xml><?xml version="1.0" encoding="utf-8"?>
<sst xmlns="http://schemas.openxmlformats.org/spreadsheetml/2006/main" count="3195" uniqueCount="1482">
  <si>
    <t>ARKA-AIM Master Data Import Template</t>
  </si>
  <si>
    <t xml:space="preserve">Template ini digunakan untuk migrasi data master &amp; konfigurasi awal sistem ARKA-AIM (Odoo 18 + addon era_*). Diselaraskan dengan model terbaru per cut-off dokumentasi.
Legenda kolom:
  • Field name (baris 4)  — nama teknis di Odoo (gunakan saat mapping import).
  • Label (baris 5)       — judul human-readable.
  • WAJIB / KONDISIONAL / opsional (baris 6).
  • Petunjuk (baris 7)    — format &amp; contoh nilai.
Konvensi:
  • Tanggal: format YYYY-MM-DD.
  • Mata uang default IDR; jangan menulis pemisah ribuan ("." / ",").
  • Kolom relasional (Many2one) diisi dengan kode unik / external id yang sudah didefinisikan di sheet master terkait — contoh: "CAT-DRONE", "PART-PRINCIPAL-001".
  • Boolean: TRUE / FALSE (atau 1 / 0).
Urutan import yang disarankan:
  1) Reference Lists (selection values, sebagai acuan)
  2) Company Settings
  3) COA (Chart of Accounts)
  4) Taxes (PPN, PPh)
  5) Journals
  6) Asset Groups &amp; Locations
  7) Categories
  8) Customers
  9) Principals (Vendors)
 10) Products
 11) Rental Pricing
 12) Drone Kit Components
 13) Damage Charge Tariffs
 14) Drone Cards (per-unit)
</t>
  </si>
  <si>
    <t>14 — Company Settings (res.company)</t>
  </si>
  <si>
    <t>Konfigurasi per company: approval invoice, credit limit default (era_accounting), parameter rental (era_rental.res.company).</t>
  </si>
  <si>
    <t>external_id</t>
  </si>
  <si>
    <t>name</t>
  </si>
  <si>
    <t>vat</t>
  </si>
  <si>
    <t>currency</t>
  </si>
  <si>
    <t>country_code</t>
  </si>
  <si>
    <t>era_require_invoice_approval</t>
  </si>
  <si>
    <t>era_invoice_approval_threshold</t>
  </si>
  <si>
    <t>era_default_credit_limit</t>
  </si>
  <si>
    <t>rental_security_time</t>
  </si>
  <si>
    <t>rental_padding_time</t>
  </si>
  <si>
    <t>rental_extra_hourly_factor</t>
  </si>
  <si>
    <t>rental_extra_daily_factor</t>
  </si>
  <si>
    <t>default_sale_journal</t>
  </si>
  <si>
    <t>default_purchase_journal</t>
  </si>
  <si>
    <t>default_pos_journal</t>
  </si>
  <si>
    <t>fiscal_year_start</t>
  </si>
  <si>
    <t>External ID Company</t>
  </si>
  <si>
    <t>Nama Company</t>
  </si>
  <si>
    <t>NPWP Company</t>
  </si>
  <si>
    <t>Currency Default</t>
  </si>
  <si>
    <t>Negara</t>
  </si>
  <si>
    <t>Wajib Approval Invoice?</t>
  </si>
  <si>
    <t>Threshold Approval (IDR)</t>
  </si>
  <si>
    <t>Default Customer Credit Limit (IDR)</t>
  </si>
  <si>
    <t>Rental Security Time (jam)</t>
  </si>
  <si>
    <t>Rental Padding Time (jam)</t>
  </si>
  <si>
    <t>Late Fee Factor (jam)</t>
  </si>
  <si>
    <t>Late Fee Factor (hari)</t>
  </si>
  <si>
    <t>Default Journal Penjualan</t>
  </si>
  <si>
    <t>Default Journal Pembelian</t>
  </si>
  <si>
    <t>Default Journal POS</t>
  </si>
  <si>
    <t>Awal Tahun Fiskal</t>
  </si>
  <si>
    <t>WAJIB</t>
  </si>
  <si>
    <t>KONDISIONAL</t>
  </si>
  <si>
    <t>opsional</t>
  </si>
  <si>
    <t>Contoh: COMP-ARKA-AIM (kosong = main).</t>
  </si>
  <si>
    <t>IDR.</t>
  </si>
  <si>
    <t>ID.</t>
  </si>
  <si>
    <t>TRUE → invoice harus di-approve sebelum post.</t>
  </si>
  <si>
    <t>Hanya invoice ≥ nilai ini yg butuh approval. 0 = semua.</t>
  </si>
  <si>
    <t>Diaplikasikan ke customer baru.</t>
  </si>
  <si>
    <t>Default 1.0. Buffer untuk persiapan/cleaning equipment.</t>
  </si>
  <si>
    <t>Default 0.0. Idle minimum antar dua sewa unit yg sama.</t>
  </si>
  <si>
    <t>Default 1.0. Multiplier extra_hourly produk.</t>
  </si>
  <si>
    <t>Default 1.0.</t>
  </si>
  <si>
    <t>External ID journal.</t>
  </si>
  <si>
    <t>Default 01-01 (mm-dd).</t>
  </si>
  <si>
    <t>COMP-ARKA</t>
  </si>
  <si>
    <t>PT Aero Reksa Kreasi Angkasa</t>
  </si>
  <si>
    <t>01.555.666.7-008.000</t>
  </si>
  <si>
    <t>IDR</t>
  </si>
  <si>
    <t>ID</t>
  </si>
  <si>
    <t>TRUE</t>
  </si>
  <si>
    <t>JRN-SALE</t>
  </si>
  <si>
    <t>JRN-PUR</t>
  </si>
  <si>
    <t>01-01</t>
  </si>
  <si>
    <t>COMP-AIM</t>
  </si>
  <si>
    <t>PT Aero Inovasi Media</t>
  </si>
  <si>
    <t>28.323.379.9-047.000</t>
  </si>
  <si>
    <t>FALSE</t>
  </si>
  <si>
    <t>06 — Chart of Accounts (account.account)</t>
  </si>
  <si>
    <t>COA mengikuti PSAK &amp; era_report_tag dari era_accounting. Tagging report_tag dipakai untuk laporan P&amp;L/BS internal.</t>
  </si>
  <si>
    <t>code</t>
  </si>
  <si>
    <t>account_type</t>
  </si>
  <si>
    <t>era_report_tag</t>
  </si>
  <si>
    <t>era_is_consolidation</t>
  </si>
  <si>
    <t>reconcile</t>
  </si>
  <si>
    <t>currency_id</t>
  </si>
  <si>
    <t>tag_ids</t>
  </si>
  <si>
    <t>group_id</t>
  </si>
  <si>
    <t>note</t>
  </si>
  <si>
    <t>External ID</t>
  </si>
  <si>
    <t>Kode Akun</t>
  </si>
  <si>
    <t>Nama Akun</t>
  </si>
  <si>
    <t>Account Type (Odoo)</t>
  </si>
  <si>
    <t>ERA Report Tag</t>
  </si>
  <si>
    <t>Consolidation Acc?</t>
  </si>
  <si>
    <t>Reconcile?</t>
  </si>
  <si>
    <t>Mata Uang</t>
  </si>
  <si>
    <t>Tag</t>
  </si>
  <si>
    <t>Account Group</t>
  </si>
  <si>
    <t>Catatan</t>
  </si>
  <si>
    <t>COA-1101</t>
  </si>
  <si>
    <t>Kas</t>
  </si>
  <si>
    <t>asset_cash</t>
  </si>
  <si>
    <t>current_asset</t>
  </si>
  <si>
    <t>COA-1102</t>
  </si>
  <si>
    <t>asset_receivable</t>
  </si>
  <si>
    <t>asset_current</t>
  </si>
  <si>
    <t>COA-1140</t>
  </si>
  <si>
    <t>COA-1141</t>
  </si>
  <si>
    <t>COA-1142</t>
  </si>
  <si>
    <t>COA-1150</t>
  </si>
  <si>
    <t>COA-1500</t>
  </si>
  <si>
    <t>asset_fixed</t>
  </si>
  <si>
    <t>fixed_asset</t>
  </si>
  <si>
    <t>COA-1590</t>
  </si>
  <si>
    <t>liability_payable</t>
  </si>
  <si>
    <t>current_liability</t>
  </si>
  <si>
    <t>COA-2120</t>
  </si>
  <si>
    <t>liability_current</t>
  </si>
  <si>
    <t>COA-2130</t>
  </si>
  <si>
    <t>COA-2131</t>
  </si>
  <si>
    <t>equity</t>
  </si>
  <si>
    <t>equity_unaffected</t>
  </si>
  <si>
    <t>COA-4101</t>
  </si>
  <si>
    <t>income</t>
  </si>
  <si>
    <t>operating_revenue</t>
  </si>
  <si>
    <t>COA-4102</t>
  </si>
  <si>
    <t>income_other</t>
  </si>
  <si>
    <t>other_revenue</t>
  </si>
  <si>
    <t>COA-5101</t>
  </si>
  <si>
    <t>expense_direct_cost</t>
  </si>
  <si>
    <t>cogs</t>
  </si>
  <si>
    <t>expense</t>
  </si>
  <si>
    <t>operating_expense</t>
  </si>
  <si>
    <t>COA-6201</t>
  </si>
  <si>
    <t>expense_depreciation</t>
  </si>
  <si>
    <t>financing_expense</t>
  </si>
  <si>
    <t>tax_expense</t>
  </si>
  <si>
    <t>Cash on hand - IDR</t>
  </si>
  <si>
    <t>Cash on hand - USD</t>
  </si>
  <si>
    <t>Cash on hand - MYR</t>
  </si>
  <si>
    <t>Cash on hand - SGD</t>
  </si>
  <si>
    <t>BCA - IDR-268.222.9595 - Main Bank</t>
  </si>
  <si>
    <t>BCA - IDR-268.262.6268 - Main Bank</t>
  </si>
  <si>
    <t>BCA - IDR-268.695.5777 - Main Bank</t>
  </si>
  <si>
    <t>BCA - IDR-268.150.7878 - Main Bank</t>
  </si>
  <si>
    <t>Gold Bullions</t>
  </si>
  <si>
    <t>Time Deposit-IDR-PT Bank Central Asia Tbk</t>
  </si>
  <si>
    <t>Time Deposit-IDR-PT Bank Rakyat Indonesia Tbk</t>
  </si>
  <si>
    <t>Time Deposit-IDR-PT Bank Nasional Indonesia Tbk</t>
  </si>
  <si>
    <t>Trade Receivables - Third Parties</t>
  </si>
  <si>
    <t>Vendor with debit balances - Trade third parties</t>
  </si>
  <si>
    <t>Customer for receivables adj-Trade third parties</t>
  </si>
  <si>
    <t>Trade Receivables - Related Parties</t>
  </si>
  <si>
    <t>Unbilled Trade Receivables  - Related Parties</t>
  </si>
  <si>
    <t>Trade Receivables - Related Parties (forex)</t>
  </si>
  <si>
    <t>Allowance for impairment of trade rec-Third Party</t>
  </si>
  <si>
    <t>Allowance for impairment of trade rec-Relate Party</t>
  </si>
  <si>
    <t>Allowance for impairment of other rec-Third Party</t>
  </si>
  <si>
    <t>Allowance for impairment of other rec-Relate Party</t>
  </si>
  <si>
    <t>Employee Receivables</t>
  </si>
  <si>
    <t>Non Trade Receivables - cash advance</t>
  </si>
  <si>
    <t>Unbilled Non Trade Receivables  - Third Parties</t>
  </si>
  <si>
    <t>Unbilled Non Trade Receivables  - Third - Claim</t>
  </si>
  <si>
    <t>Non Trade Receivables - Third Parties</t>
  </si>
  <si>
    <t>Interest Receivables - Third Parties</t>
  </si>
  <si>
    <t>Other Non Trade Receivables - third parties</t>
  </si>
  <si>
    <t>Vendor with debit balances-Non Trade-Third parties</t>
  </si>
  <si>
    <t>BIC unsettled Receivable - Non Trade third parties</t>
  </si>
  <si>
    <t>Customer for receivable adj-Non Trade third party</t>
  </si>
  <si>
    <t>Non Trade Receivables - Third Parties (forex)</t>
  </si>
  <si>
    <t>Non Trade Receivables - Related Parties</t>
  </si>
  <si>
    <t>Intercompany Interest Receivables - Related Party</t>
  </si>
  <si>
    <t>Unbilled Non Trade Receivables  - Related Parties</t>
  </si>
  <si>
    <t>Non Trade Receivables - Related Parties (forex)</t>
  </si>
  <si>
    <t>Intercompany loan Receivables</t>
  </si>
  <si>
    <t>Other current financial assets</t>
  </si>
  <si>
    <t>Convertible notes</t>
  </si>
  <si>
    <t>Derivative Asset</t>
  </si>
  <si>
    <t>Inventory-Device &amp; Tablet</t>
  </si>
  <si>
    <t>Inventory-Gadget &amp; Accessories</t>
  </si>
  <si>
    <t>Inventory-Computers</t>
  </si>
  <si>
    <t>Inventory-Consumer Electronics</t>
  </si>
  <si>
    <t>Inventory-Carrier</t>
  </si>
  <si>
    <t>Inventory-Lifestyle</t>
  </si>
  <si>
    <t>Inventory-Value Added Service</t>
  </si>
  <si>
    <t>Inventory-Digital Product</t>
  </si>
  <si>
    <t>Inventory-Component</t>
  </si>
  <si>
    <t>Inventory-Spare part (Service)</t>
  </si>
  <si>
    <t>Inventory-Cosmetics</t>
  </si>
  <si>
    <t>Inventory-Medical &amp; Health Industry</t>
  </si>
  <si>
    <t>Inventory-Pods</t>
  </si>
  <si>
    <t>Inventory-In Warranty</t>
  </si>
  <si>
    <t>Inventory-Software</t>
  </si>
  <si>
    <t>Inventories-Food &amp; Beverage</t>
  </si>
  <si>
    <t>Inventories-textile</t>
  </si>
  <si>
    <t>Inventories-footwear</t>
  </si>
  <si>
    <t>Inventories-accessories</t>
  </si>
  <si>
    <t>Inventories-miscellaneous</t>
  </si>
  <si>
    <t>Inventories-wholesale</t>
  </si>
  <si>
    <t>Inventories-e-commerce / internet revenue</t>
  </si>
  <si>
    <t>Inventories-clearance</t>
  </si>
  <si>
    <t>Inventories-distributor revenue</t>
  </si>
  <si>
    <t>Inventories-Hard Goods</t>
  </si>
  <si>
    <t>Inventory-Merchandise-non commercial</t>
  </si>
  <si>
    <t>Inventory-Others</t>
  </si>
  <si>
    <t>Stock in transit</t>
  </si>
  <si>
    <t>Allwnce for obslscnc n decline in val of inventory</t>
  </si>
  <si>
    <t>Stock Revaluation</t>
  </si>
  <si>
    <t>Stock - swap device (clearing account)</t>
  </si>
  <si>
    <t>Inventory Non Commercial-Device &amp; Tablet</t>
  </si>
  <si>
    <t>Inventory Non Commercial-Gadget &amp; Accessories</t>
  </si>
  <si>
    <t>Inventory Non Commercial-Computers</t>
  </si>
  <si>
    <t>Inventory Non Commercial-Consumer Electronics</t>
  </si>
  <si>
    <t>Inventory Non Commercial-Carrier</t>
  </si>
  <si>
    <t>Inventory Non Commercial-Lifestyle</t>
  </si>
  <si>
    <t>Inventory Non Commercial-Value Added Service</t>
  </si>
  <si>
    <t>Inventory Non Commercial-Digital Product</t>
  </si>
  <si>
    <t>Inventory Non Commercial-Component</t>
  </si>
  <si>
    <t>Inventory Non Commercial-Spare part (Service)</t>
  </si>
  <si>
    <t>Inventory Non Commercial-Cosmetics</t>
  </si>
  <si>
    <t>Inventory Non Commercial-Medical&amp;Health Industry</t>
  </si>
  <si>
    <t>Inventory Non Commercial-Pods</t>
  </si>
  <si>
    <t>Inventory Non Commercial-In Warranty</t>
  </si>
  <si>
    <t>Inventory Non Commercial-Software</t>
  </si>
  <si>
    <t>Inventory Non Commercial-Hard Goods</t>
  </si>
  <si>
    <t>Giftcard-clearing</t>
  </si>
  <si>
    <t>Inventory Non Commercial-Other Current Assets</t>
  </si>
  <si>
    <t>Inventory Non Commercial-Others</t>
  </si>
  <si>
    <t>Down Payment - Trade</t>
  </si>
  <si>
    <t>asset_prepayments</t>
  </si>
  <si>
    <t>Advance for payment of operational expenses</t>
  </si>
  <si>
    <t>Advance on stock subscription</t>
  </si>
  <si>
    <t>Advance from intercompanies</t>
  </si>
  <si>
    <t>Advance on stock subscription-related</t>
  </si>
  <si>
    <t>Building insurance</t>
  </si>
  <si>
    <t>Vehicles insurance</t>
  </si>
  <si>
    <t>Prepaid Inventories insurance</t>
  </si>
  <si>
    <t>Medical insurance</t>
  </si>
  <si>
    <t>Cash outlet Insurance</t>
  </si>
  <si>
    <t>Prepaid Other insurance</t>
  </si>
  <si>
    <t>Other prepaid expenses</t>
  </si>
  <si>
    <t>Prepaid Provision expenses</t>
  </si>
  <si>
    <t>Prepaid-Office supplies</t>
  </si>
  <si>
    <t>Prepaid-E Materai</t>
  </si>
  <si>
    <t>Prepaid rent - current portion</t>
  </si>
  <si>
    <t>Prepaid Income tax art. 22</t>
  </si>
  <si>
    <t>Current Assets</t>
  </si>
  <si>
    <t>Prepaid Income tax art. 23</t>
  </si>
  <si>
    <t>Prepaid Income tax art. 24</t>
  </si>
  <si>
    <t>Prepaid Income tax art. 25</t>
  </si>
  <si>
    <t>VAT In</t>
  </si>
  <si>
    <t>VAT In - not yet invoiced</t>
  </si>
  <si>
    <t>GST-IN</t>
  </si>
  <si>
    <t>Tax Deposit</t>
  </si>
  <si>
    <t>Estimated claim for tax refund - current</t>
  </si>
  <si>
    <t>Deferred tax assets-Inventories</t>
  </si>
  <si>
    <t>Non-current Assets</t>
  </si>
  <si>
    <t>Deferred tax assets-Account receivables</t>
  </si>
  <si>
    <t>Deferred tax assets-Liability for employee benefit</t>
  </si>
  <si>
    <t>Deferred tax assets-Fixed assets</t>
  </si>
  <si>
    <t>Deferred tax assets-Foreign curr translation of FS</t>
  </si>
  <si>
    <t>Deferred tax assets-Dividend</t>
  </si>
  <si>
    <t>Deferred tax assets-Customer Loyalty Programmes</t>
  </si>
  <si>
    <t>Deferred tax assets-Right of Use Assets</t>
  </si>
  <si>
    <t>Deferred tax assets-PKWT</t>
  </si>
  <si>
    <t>Deferred tax assets-Tax Loss Carry Forward</t>
  </si>
  <si>
    <t>Loan to employees</t>
  </si>
  <si>
    <t>INVESTMENT&gt;=20&amp;&lt;50%</t>
  </si>
  <si>
    <t>INVESTMENT &gt;=50%</t>
  </si>
  <si>
    <t>INVESTMENT-OTHER</t>
  </si>
  <si>
    <t>Fixed Assets - Cost - Land</t>
  </si>
  <si>
    <t>Fixed Assets</t>
  </si>
  <si>
    <t>Fixed Assets - Cost - Building and improvements</t>
  </si>
  <si>
    <t>Fixed Assets - Cost - Vehicles</t>
  </si>
  <si>
    <t>Fixed Assets - Cost - Office and outlet equipment</t>
  </si>
  <si>
    <t>Fixed Assets - Cost - Machinery</t>
  </si>
  <si>
    <t>Fixed Assets - Cost - Furniture and fixtures</t>
  </si>
  <si>
    <t>Fixed asset-Accum depre-Building and improvements</t>
  </si>
  <si>
    <t>Fixed assets - Accumulated depreciation - Vehicles</t>
  </si>
  <si>
    <t>Fixed asset-Accum depre-Office and outlet equipmnt</t>
  </si>
  <si>
    <t>Fixed asset-Accum depre-Machinery</t>
  </si>
  <si>
    <t>Fixed asset-Accum depre-Furniture and fixtures</t>
  </si>
  <si>
    <t>Accumulated Loss on Impair-Land</t>
  </si>
  <si>
    <t>Accumulated Loss on Impair-Building &amp; improvements</t>
  </si>
  <si>
    <t>Asset under construction - Land</t>
  </si>
  <si>
    <t>Asset under construction-Building and improvements</t>
  </si>
  <si>
    <t>Asset under construction - Vehicles</t>
  </si>
  <si>
    <t>Asset under construction-Office n outlet equipment</t>
  </si>
  <si>
    <t>Asset under construction - Machinery</t>
  </si>
  <si>
    <t>Asset under construction - Furniture and fixtures</t>
  </si>
  <si>
    <t>Asset under construction - Intangible Assets</t>
  </si>
  <si>
    <t>Asset under construction - Software</t>
  </si>
  <si>
    <t>Technical clearing account for Asset</t>
  </si>
  <si>
    <t>Right of Use Asset-Cost-Building and improvements</t>
  </si>
  <si>
    <t>Right of Use Asset-Accum depre-Building n improve</t>
  </si>
  <si>
    <t>Software</t>
  </si>
  <si>
    <t>Accum. Amortization Software</t>
  </si>
  <si>
    <t>Goodwill - net</t>
  </si>
  <si>
    <t>Accumulated Loss on Impair-Goodwill</t>
  </si>
  <si>
    <t>Advances for purchase of fixed assets</t>
  </si>
  <si>
    <t>Advances for purchase of intangible assets</t>
  </si>
  <si>
    <t>Asset down payment acquisition</t>
  </si>
  <si>
    <t>Asset down payment Clearing</t>
  </si>
  <si>
    <t>Estimated claim for tax refund - non current</t>
  </si>
  <si>
    <t>Deposit - Rental</t>
  </si>
  <si>
    <t>Deposit - Line Telephone</t>
  </si>
  <si>
    <t>Deposit Internet</t>
  </si>
  <si>
    <t>Security Deposit</t>
  </si>
  <si>
    <t>Deposit - Service Charge</t>
  </si>
  <si>
    <t>Deposit - Utilities</t>
  </si>
  <si>
    <t>Deposit - Rental Space for Event</t>
  </si>
  <si>
    <t>Deposit - Cloud System</t>
  </si>
  <si>
    <t>Other Deposit</t>
  </si>
  <si>
    <t>Deposit - Rental - Fair Value Adjustment</t>
  </si>
  <si>
    <t>Deposit - Line Telephone - Fair Value Adjustment</t>
  </si>
  <si>
    <t>Deposit Internet - Fair Value Adjustment</t>
  </si>
  <si>
    <t>Security Deposit - Fair Value Adjustment</t>
  </si>
  <si>
    <t>Deposit - Service Charge - Fair Value Adjustment</t>
  </si>
  <si>
    <t>Deposit - Utilities - Fair Value Adjustment</t>
  </si>
  <si>
    <t>Deposit - Rental Space for Event - Fair Value Adju</t>
  </si>
  <si>
    <t>Deposit - Cloud System - Fair Value Adjustment</t>
  </si>
  <si>
    <t>Deposit Other - Fair Value Adjustment</t>
  </si>
  <si>
    <t>Deferred Cost</t>
  </si>
  <si>
    <t>Amortization of Deferred Cost</t>
  </si>
  <si>
    <t>Other non-current assets</t>
  </si>
  <si>
    <t>Time Loan - PT Bank Central Asia Tbk</t>
  </si>
  <si>
    <t>Current Liabilities</t>
  </si>
  <si>
    <t>Bank Overdraft - PT Bank Central Asia Tbk</t>
  </si>
  <si>
    <t>Long-term bank loans-current maturities</t>
  </si>
  <si>
    <t>Consumer financing payable - Short Term</t>
  </si>
  <si>
    <t>Finance lease payable-current maturities</t>
  </si>
  <si>
    <t>Lease payable (Right-of-Use Assets)</t>
  </si>
  <si>
    <t>Trade Payables - Third parties</t>
  </si>
  <si>
    <t>Unbilled Payable - trade third parties</t>
  </si>
  <si>
    <t>Deposit from customer trade</t>
  </si>
  <si>
    <t>Customer with credit balance-Trade third parties</t>
  </si>
  <si>
    <t>Vendor for payables adj-Trade third parties</t>
  </si>
  <si>
    <t>Trade Payables - Third parties (forex)</t>
  </si>
  <si>
    <t>GR/IR clearing-Tr Pay-Third P-Merc-non comm</t>
  </si>
  <si>
    <t>GR/IR clearing-Tr Pay-Third P-Others</t>
  </si>
  <si>
    <t>GR/IR clearing-Trade-Third Party-Freight Overseas</t>
  </si>
  <si>
    <t>GR/IR clearing-Trade-Third Party-Freight Local</t>
  </si>
  <si>
    <t>GR/IR clearing-Trade-Third Party-Insurance Oversea</t>
  </si>
  <si>
    <t>GR/IR clearing-Trade-Third Party-Insurance Local</t>
  </si>
  <si>
    <t>GR/IR clearing-Trade-Third Party-Import Duty</t>
  </si>
  <si>
    <t>GR/IR clearing-Trade-Third Party-Custom Stamp Duty</t>
  </si>
  <si>
    <t>GR/IR clearing-Trade-Third Party-Beginning Balance</t>
  </si>
  <si>
    <t>Trade Payables - Related parties</t>
  </si>
  <si>
    <t>Unbilled Payable - trade related parties</t>
  </si>
  <si>
    <t>Trade Payable - Site</t>
  </si>
  <si>
    <t>Trade Payables - Related parties (forex)</t>
  </si>
  <si>
    <t>GR/IR clearing - Trade Payables - Related Parties</t>
  </si>
  <si>
    <t>Non trade payable - Third parties</t>
  </si>
  <si>
    <t>Deposit from customer non trade</t>
  </si>
  <si>
    <t>Guarantee Deposit-Non Trade Payables-Third parties</t>
  </si>
  <si>
    <t>Deposit from principle support program</t>
  </si>
  <si>
    <t>GR/IR clearing-Non Trade Payables-Third Parties</t>
  </si>
  <si>
    <t>Deferred Income - Current</t>
  </si>
  <si>
    <t>GR/IR clearing-Non Trad Pybls-3P-Beginning Balance</t>
  </si>
  <si>
    <t>Non Trade - third parties - Others</t>
  </si>
  <si>
    <t>Customer with credit bal.-Non Trade third party</t>
  </si>
  <si>
    <t>BOC unsettled Payable - Non Trade third parties</t>
  </si>
  <si>
    <t>Vendor for payables adj-Non Trade-Third parties</t>
  </si>
  <si>
    <t>Non trade payable - Third parties (forex)</t>
  </si>
  <si>
    <t>Non trade payable - Related parties</t>
  </si>
  <si>
    <t>Intercompany Interest Payable - Related Parties</t>
  </si>
  <si>
    <t>GR/IR clearing-Non Trade Payables-Related Parties</t>
  </si>
  <si>
    <t>GR/IR clearing-Non Trad Pybls-RP-Beginning Balance</t>
  </si>
  <si>
    <t>Non trade payable - Related parties (forex)</t>
  </si>
  <si>
    <t>Intercompany Loan Payables</t>
  </si>
  <si>
    <t>Income tax payable art. 4 (2)</t>
  </si>
  <si>
    <t>Income tax payable art. 21</t>
  </si>
  <si>
    <t>Income tax payable art. 22</t>
  </si>
  <si>
    <t>Income tax payable art. 23</t>
  </si>
  <si>
    <t>Income tax payable art. 25</t>
  </si>
  <si>
    <t>Income tax payable art. 26</t>
  </si>
  <si>
    <t>Income tax payable art. 29</t>
  </si>
  <si>
    <t>VAT Out</t>
  </si>
  <si>
    <t>GST-OUT</t>
  </si>
  <si>
    <t>VAT Payable</t>
  </si>
  <si>
    <t>Other Taxes Payable</t>
  </si>
  <si>
    <t>Accrued Expenses 3P-Interest</t>
  </si>
  <si>
    <t>Accrued Expenses 3P-Salaries</t>
  </si>
  <si>
    <t>Accrued Expenses 3P-Rental</t>
  </si>
  <si>
    <t>Accrued Expenses 3P-Insurance</t>
  </si>
  <si>
    <t>Accrued Expenses 3P-Audit fee</t>
  </si>
  <si>
    <t>Accrued Expenses 3P-Prof. fee</t>
  </si>
  <si>
    <t>Accrued Expenses 3P-Utilities</t>
  </si>
  <si>
    <t>Accrued Expenses 3P-Ad n prmo</t>
  </si>
  <si>
    <t>Accrued Expenses 3P-Comm.</t>
  </si>
  <si>
    <t>Accrued Expenses 3P-Freight</t>
  </si>
  <si>
    <t>Accrued Expenses 3P-Jamsostek</t>
  </si>
  <si>
    <t>Acc Oth-Third party</t>
  </si>
  <si>
    <t>Accrued Expenses RP-Interest</t>
  </si>
  <si>
    <t>Accrued Expenses RP-Salaries</t>
  </si>
  <si>
    <t>Accrued Expenses RP-Rental</t>
  </si>
  <si>
    <t>Accrued Expenses RP-Prof. fee</t>
  </si>
  <si>
    <t>Short-term employee benefits liabilities</t>
  </si>
  <si>
    <t>Advances from customers - Third parties</t>
  </si>
  <si>
    <t>Advances from customers - Related parties</t>
  </si>
  <si>
    <t>Derivative Liabilities</t>
  </si>
  <si>
    <t>Long-term bank loan</t>
  </si>
  <si>
    <t>Non-current Liabilities</t>
  </si>
  <si>
    <t>Long-term bank loan - Adjustment (Forex)</t>
  </si>
  <si>
    <t>Consumer financing payable - Long Term</t>
  </si>
  <si>
    <t>Finance lease payable</t>
  </si>
  <si>
    <t>Long-term loan (non financial institution)</t>
  </si>
  <si>
    <t>Notes Payable - non current</t>
  </si>
  <si>
    <t>Leased Liability</t>
  </si>
  <si>
    <t>Leased Liability - Building and Improvements</t>
  </si>
  <si>
    <t>Leased Liability - Vehicle</t>
  </si>
  <si>
    <t>Def tax liabilities-Inventories</t>
  </si>
  <si>
    <t>Def tax liabilities-Account receivables</t>
  </si>
  <si>
    <t>Def tax liabilities-Liab. for employee benefit</t>
  </si>
  <si>
    <t>Def tax liabilities-Fixed assets</t>
  </si>
  <si>
    <t>Def tax liabilities-Foreign curr translation of FS</t>
  </si>
  <si>
    <t>Def tax liabilities-Dividend</t>
  </si>
  <si>
    <t>Def tax liabilities-Customer Loyalty Programmes</t>
  </si>
  <si>
    <t>Def tax liabilities-Right of Use Assets</t>
  </si>
  <si>
    <t>Liabilities for employee benefits</t>
  </si>
  <si>
    <t>Share capital</t>
  </si>
  <si>
    <t>Equity</t>
  </si>
  <si>
    <t>Additional paid-in-capital</t>
  </si>
  <si>
    <t>Treasury Shares</t>
  </si>
  <si>
    <t>Deposits for future stock subscription</t>
  </si>
  <si>
    <t>Dividend</t>
  </si>
  <si>
    <t>transaction of entities under common control</t>
  </si>
  <si>
    <t>changes in non-controlling interest</t>
  </si>
  <si>
    <t>OCI Beginning - Inventories</t>
  </si>
  <si>
    <t>OCI Beginning - Accounts Receivables</t>
  </si>
  <si>
    <t>OCI Beginning - Liabilities for Employee Benefits</t>
  </si>
  <si>
    <t>OCI Beginning - Fixed Assets</t>
  </si>
  <si>
    <t>OCI Beginning - FX Curr Trans FS</t>
  </si>
  <si>
    <t>OCI Beginning - Dividend</t>
  </si>
  <si>
    <t>OCI Current - Inventories</t>
  </si>
  <si>
    <t>OCI Current - Accounts Receivables</t>
  </si>
  <si>
    <t>OCI Current - Liabilities for Employee Benefits</t>
  </si>
  <si>
    <t>OCI Current - Fixed Assets</t>
  </si>
  <si>
    <t>OCI Current - FX Curr Trans FS</t>
  </si>
  <si>
    <t>OCI Current - Dividend</t>
  </si>
  <si>
    <t>Retained earnings - beginning</t>
  </si>
  <si>
    <t>Implementation of New Standard</t>
  </si>
  <si>
    <t>Current year net income</t>
  </si>
  <si>
    <t>Current Year Earnings</t>
  </si>
  <si>
    <t>Non Controlling Interest</t>
  </si>
  <si>
    <t>Gross Sales-Rental Asset</t>
  </si>
  <si>
    <t>Income</t>
  </si>
  <si>
    <t>Gross Sales-Others</t>
  </si>
  <si>
    <t>Sales discount-Others</t>
  </si>
  <si>
    <t>Sales return-Others</t>
  </si>
  <si>
    <t>Sales Adjustment-manual posting</t>
  </si>
  <si>
    <t>Sales Adjustment-automatic posting</t>
  </si>
  <si>
    <t>COGS-Rental Asset</t>
  </si>
  <si>
    <t>COGS-Others</t>
  </si>
  <si>
    <t>Rebate</t>
  </si>
  <si>
    <t>Cost of Revenue</t>
  </si>
  <si>
    <t>Support Management</t>
  </si>
  <si>
    <t>Cash discount</t>
  </si>
  <si>
    <t>Trade price protection</t>
  </si>
  <si>
    <t>Inklaring - Import</t>
  </si>
  <si>
    <t>Inspection - Import</t>
  </si>
  <si>
    <t>Handling Fee - Import</t>
  </si>
  <si>
    <t>Inklaring - Export</t>
  </si>
  <si>
    <t>Inspection - Export</t>
  </si>
  <si>
    <t>Handling Fee - Export</t>
  </si>
  <si>
    <t>Insurance - Local</t>
  </si>
  <si>
    <t>Insurance - Overseas</t>
  </si>
  <si>
    <t>Insurance - Export</t>
  </si>
  <si>
    <t>Insurance - Import</t>
  </si>
  <si>
    <t>Rebate KPI &amp; Incentive</t>
  </si>
  <si>
    <t>Rebate Incentive-Others</t>
  </si>
  <si>
    <t>Assembly - Component</t>
  </si>
  <si>
    <t>Assembly - Preloaded</t>
  </si>
  <si>
    <t>COGS Adjustment-manual posting</t>
  </si>
  <si>
    <t>COGS Var-Others</t>
  </si>
  <si>
    <t>Advertising &amp; Publication</t>
  </si>
  <si>
    <t>Expenses</t>
  </si>
  <si>
    <t>Promotion</t>
  </si>
  <si>
    <t>Tactical Promotion</t>
  </si>
  <si>
    <t>Merchandise</t>
  </si>
  <si>
    <t>Marketing</t>
  </si>
  <si>
    <t>Brosur leaflet sign</t>
  </si>
  <si>
    <t>Exhibition</t>
  </si>
  <si>
    <t>Sponsorship</t>
  </si>
  <si>
    <t>Printed goods</t>
  </si>
  <si>
    <t>Sample products</t>
  </si>
  <si>
    <t>Data Analytical Cost</t>
  </si>
  <si>
    <t>Market Place Cost</t>
  </si>
  <si>
    <t>Prize load</t>
  </si>
  <si>
    <t>Labor - Selling</t>
  </si>
  <si>
    <t>Bonus &amp; THR allowances - Selling</t>
  </si>
  <si>
    <t>Overtime/ Insentive/ Lumpsum - Selling</t>
  </si>
  <si>
    <t>HR Enhancement - Selling</t>
  </si>
  <si>
    <t>Other Salaries - Selling</t>
  </si>
  <si>
    <t>Pension PKWT - Selling</t>
  </si>
  <si>
    <t>Salaries-Selling</t>
  </si>
  <si>
    <t>Overtime/ Insentive &amp; Lumpsum - Permanent employee</t>
  </si>
  <si>
    <t>Allowance THR/bonus/cuti - Permanent employee</t>
  </si>
  <si>
    <t>Working Accident Protection - Selling</t>
  </si>
  <si>
    <t>Death Protection - Selling</t>
  </si>
  <si>
    <t>Old Age Protection - Selling</t>
  </si>
  <si>
    <t>Pension - Selling</t>
  </si>
  <si>
    <t>Medical Allowance - BPJS - Selling</t>
  </si>
  <si>
    <t>Sales Outlet Rent-SE</t>
  </si>
  <si>
    <t>Service Charge - Selling</t>
  </si>
  <si>
    <t>Vehicle Rental - Selling</t>
  </si>
  <si>
    <t>EDC machine Rent-SE</t>
  </si>
  <si>
    <t>Other Rental - Selling</t>
  </si>
  <si>
    <t>MDR Bank</t>
  </si>
  <si>
    <t>MDR E-Wallet</t>
  </si>
  <si>
    <t>MDR Bank û Dealer</t>
  </si>
  <si>
    <t>Sales commission</t>
  </si>
  <si>
    <t>Domestic Distribution</t>
  </si>
  <si>
    <t>Freight inklaring cost</t>
  </si>
  <si>
    <t>Export Distribution</t>
  </si>
  <si>
    <t>Operational Export</t>
  </si>
  <si>
    <t>Packaging</t>
  </si>
  <si>
    <t>SMS Cost OTP</t>
  </si>
  <si>
    <t>Email Cost</t>
  </si>
  <si>
    <t>Telco Cost Contact Center</t>
  </si>
  <si>
    <t>Storage - Cloud cost</t>
  </si>
  <si>
    <t>Depre Exp-Selling-Right of Use Asset-Building</t>
  </si>
  <si>
    <t>Depreciation</t>
  </si>
  <si>
    <t>Depre Exp-Selling-Right of Use Asset - Vehicle</t>
  </si>
  <si>
    <t>Depre Exp-Selling-Right of Use Asset-Others</t>
  </si>
  <si>
    <t>Royalty</t>
  </si>
  <si>
    <t>Maintenance fee</t>
  </si>
  <si>
    <t>Pajak reklame dan jaminan bongkar</t>
  </si>
  <si>
    <t>Pakaian seragam service</t>
  </si>
  <si>
    <t>Pendidikan dan latihan</t>
  </si>
  <si>
    <t>Asuransi pengiriman ekspor-LN</t>
  </si>
  <si>
    <t>Others Selling Exp</t>
  </si>
  <si>
    <t>Store Supplies &amp; Consumables</t>
  </si>
  <si>
    <t>Installation-Selling</t>
  </si>
  <si>
    <t>Salaries - GA</t>
  </si>
  <si>
    <t>Lembur/insentif &amp; lumpsum GA</t>
  </si>
  <si>
    <t>Allowance THR/bonus/cuti - GA</t>
  </si>
  <si>
    <t>Meals-GA</t>
  </si>
  <si>
    <t>Astek-GA</t>
  </si>
  <si>
    <t>Healthcare Insurance</t>
  </si>
  <si>
    <t>HR training-GA</t>
  </si>
  <si>
    <t>Working Accident Protection - GA</t>
  </si>
  <si>
    <t>Death Protection - GA</t>
  </si>
  <si>
    <t>Old Age Protection - GA</t>
  </si>
  <si>
    <t>Accrued Pension Fund - GA</t>
  </si>
  <si>
    <t>Healthcare cost</t>
  </si>
  <si>
    <t>Medical Allowance - BPJS - GA</t>
  </si>
  <si>
    <t>Transport Allowance-in town</t>
  </si>
  <si>
    <t>Labor Cost - GA</t>
  </si>
  <si>
    <t>Bonus &amp; THR allowances - GA</t>
  </si>
  <si>
    <t>Overtime/ Insentive/ Lumpsum - GA</t>
  </si>
  <si>
    <t>Pension - GA</t>
  </si>
  <si>
    <t>Severance pay - GA</t>
  </si>
  <si>
    <t>Consultant Fee</t>
  </si>
  <si>
    <t>Audit Fee</t>
  </si>
  <si>
    <t>Notary &amp; lawyer Fee</t>
  </si>
  <si>
    <t>Training Cost</t>
  </si>
  <si>
    <t>Income tax art. 4(2)</t>
  </si>
  <si>
    <t>Income tax art. 21</t>
  </si>
  <si>
    <t>Income tax art. 23</t>
  </si>
  <si>
    <t>Income tax art. 25</t>
  </si>
  <si>
    <t>Income tax art. 29</t>
  </si>
  <si>
    <t>VAT</t>
  </si>
  <si>
    <t>Income tax art. 26</t>
  </si>
  <si>
    <t>Income tax for sale of land and building right</t>
  </si>
  <si>
    <t>Others</t>
  </si>
  <si>
    <t>Depreciation - Fixed Asset - Building</t>
  </si>
  <si>
    <t>Depreciation - Fixed Asset - Vehicle</t>
  </si>
  <si>
    <t>Depre Exp-Fixed Asset-Office and outlet equipment</t>
  </si>
  <si>
    <t>Depreciation - Fixed Asset - Furniture &amp; Fixtures</t>
  </si>
  <si>
    <t>Depreciation - Fixed Asset - Machine</t>
  </si>
  <si>
    <t>Depreciation - Fixed Asset - Fixed Asset - others</t>
  </si>
  <si>
    <t>Depreciation - Asset for Lease - Building</t>
  </si>
  <si>
    <t>Depreciation - Asset for Lease - Vehicle</t>
  </si>
  <si>
    <t>Depre Exp-Asset for Lease-Office and outlet equip</t>
  </si>
  <si>
    <t>Depre Exp-Asset for Lease-Furniture &amp; Fixture</t>
  </si>
  <si>
    <t>Depreciation - Asset for Lease - Machine</t>
  </si>
  <si>
    <t>Depre Exp-Asset for Lease-Others</t>
  </si>
  <si>
    <t>Depreciation - Right of Use Asset - Building</t>
  </si>
  <si>
    <t>Depreciation - Right of Use Asset - Vehicle</t>
  </si>
  <si>
    <t>Depre Exp-Right of Use Asset-Office n outlet equip</t>
  </si>
  <si>
    <t>Depre Exp-Right of Use Asset-Furniture &amp; Fixture</t>
  </si>
  <si>
    <t>Depreciation - Right of Use Asset - Machine</t>
  </si>
  <si>
    <t>Depre Exp-Right of Use Asset-Others</t>
  </si>
  <si>
    <t>Amort. Exp-Software</t>
  </si>
  <si>
    <t>Non-competing agreement</t>
  </si>
  <si>
    <t>Amortisasi-other</t>
  </si>
  <si>
    <t>Amortization Expense-Trademark</t>
  </si>
  <si>
    <t>Donation and Social</t>
  </si>
  <si>
    <t>Entertainment</t>
  </si>
  <si>
    <t>Prov for obslscnc n decline in value of inventory</t>
  </si>
  <si>
    <t>Telephone, Fax &amp; Internet</t>
  </si>
  <si>
    <t>Electricity</t>
  </si>
  <si>
    <t>Water</t>
  </si>
  <si>
    <t>Transportation Cost</t>
  </si>
  <si>
    <t>Business Trip - Domestic</t>
  </si>
  <si>
    <t>Business Trip - Overseas</t>
  </si>
  <si>
    <t>Fuel, Tol &amp; Parking</t>
  </si>
  <si>
    <t>Document delivery</t>
  </si>
  <si>
    <t>Office Stationary</t>
  </si>
  <si>
    <t>Computer supplier</t>
  </si>
  <si>
    <t>Office supplies</t>
  </si>
  <si>
    <t>Warehouse Supplies</t>
  </si>
  <si>
    <t>Post and Stamp Duty</t>
  </si>
  <si>
    <t>Printing</t>
  </si>
  <si>
    <t>Photocopy</t>
  </si>
  <si>
    <t>Archieve Cost</t>
  </si>
  <si>
    <t>Other office supplies</t>
  </si>
  <si>
    <t>Building Maintenance</t>
  </si>
  <si>
    <t>Vechicle Maintenance</t>
  </si>
  <si>
    <t>Office and Outlet Equipment Maintenance</t>
  </si>
  <si>
    <t>Furniture Maintenance</t>
  </si>
  <si>
    <t>Inventories Repair &amp; Service</t>
  </si>
  <si>
    <t>Licensing/ Sertification</t>
  </si>
  <si>
    <t>Vehicle Taxation</t>
  </si>
  <si>
    <t>PBB</t>
  </si>
  <si>
    <t>RUPS &amp; Meeting Expenses</t>
  </si>
  <si>
    <t>Office Rental</t>
  </si>
  <si>
    <t>Vehicle Rental</t>
  </si>
  <si>
    <t>Service Charge</t>
  </si>
  <si>
    <t>Equipment Rental</t>
  </si>
  <si>
    <t>Rental application system</t>
  </si>
  <si>
    <t>GA Exp-Building Insurance</t>
  </si>
  <si>
    <t>Vehicle Insurance</t>
  </si>
  <si>
    <t>Inventories Insurance</t>
  </si>
  <si>
    <t>Cash Insurance</t>
  </si>
  <si>
    <t>Office Equipment Insurance</t>
  </si>
  <si>
    <t>Other Insurance</t>
  </si>
  <si>
    <t>Provision for impairment of receivables</t>
  </si>
  <si>
    <t>Receivable write-off</t>
  </si>
  <si>
    <t>Inventory write-off</t>
  </si>
  <si>
    <t>Royalty Fee</t>
  </si>
  <si>
    <t>Technical Support Fee</t>
  </si>
  <si>
    <t>Service Supplies</t>
  </si>
  <si>
    <t>Household Expenses</t>
  </si>
  <si>
    <t>Newspaper &amp; Magazine</t>
  </si>
  <si>
    <t>Membership</t>
  </si>
  <si>
    <t>Cleaning Service</t>
  </si>
  <si>
    <t>Penalty</t>
  </si>
  <si>
    <t>Tuition and Retribution</t>
  </si>
  <si>
    <t>Membership Tuition</t>
  </si>
  <si>
    <t>Training</t>
  </si>
  <si>
    <t>Uniform</t>
  </si>
  <si>
    <t>Other Advertising</t>
  </si>
  <si>
    <t>Bank Administrative</t>
  </si>
  <si>
    <t>Other cost</t>
  </si>
  <si>
    <t>Share in net inc (loss) fr assciated companies-net</t>
  </si>
  <si>
    <t>Net income (loss) from subsidiaries - net</t>
  </si>
  <si>
    <t>Gain on sale of Fixed Assets</t>
  </si>
  <si>
    <t>Other Income</t>
  </si>
  <si>
    <t>Clearing Account Revenue from Asset sale</t>
  </si>
  <si>
    <t>Gain on sale of Investment</t>
  </si>
  <si>
    <t>Rent Income</t>
  </si>
  <si>
    <t>credit card</t>
  </si>
  <si>
    <t>Promotion fund</t>
  </si>
  <si>
    <t>Marketing Support Fund - Principal</t>
  </si>
  <si>
    <t>Commission</t>
  </si>
  <si>
    <t>Difference of Foreign Exchange income</t>
  </si>
  <si>
    <t>Penalty Income of late payment of receivables</t>
  </si>
  <si>
    <t>Reimbursement Income</t>
  </si>
  <si>
    <t>Insurance replacement income</t>
  </si>
  <si>
    <t>Dividend income</t>
  </si>
  <si>
    <t>other operating income</t>
  </si>
  <si>
    <t>Loss on sale of Fixed Assets</t>
  </si>
  <si>
    <t>Loss on sale of Investment</t>
  </si>
  <si>
    <t>Loss on impairment of Investment</t>
  </si>
  <si>
    <t>Difference of Foreign Exchange expense</t>
  </si>
  <si>
    <t>Penalty Expense of late payment of payables</t>
  </si>
  <si>
    <t>Loss on impairment of Fixed Assets</t>
  </si>
  <si>
    <t>Loss on impair-Inventory dueto extraordinary event</t>
  </si>
  <si>
    <t>Loss on impairment of goodwill</t>
  </si>
  <si>
    <t>Insurance replacement loss</t>
  </si>
  <si>
    <t>Other operating expense</t>
  </si>
  <si>
    <t>Interest on Current account</t>
  </si>
  <si>
    <t>Interest on Placement of Deposits</t>
  </si>
  <si>
    <t>Interest on loans</t>
  </si>
  <si>
    <t>Interest of penalty from receivables</t>
  </si>
  <si>
    <t>Interest income - PSAK55</t>
  </si>
  <si>
    <t>Interest Cost</t>
  </si>
  <si>
    <t>Provision Cost</t>
  </si>
  <si>
    <t>Interest - Lease</t>
  </si>
  <si>
    <t>Interest - affiliated</t>
  </si>
  <si>
    <t>Current</t>
  </si>
  <si>
    <t>Deferred</t>
  </si>
  <si>
    <t>OCI - Inventories</t>
  </si>
  <si>
    <t>OCI - Account receivables</t>
  </si>
  <si>
    <t>OCI - Liabilities for employee benefits</t>
  </si>
  <si>
    <t>OCI - Fixed assets</t>
  </si>
  <si>
    <t>OCI-Foreign curr translate of financial statements</t>
  </si>
  <si>
    <t>OCI - Dividend</t>
  </si>
  <si>
    <t>Share in other comprehensive income-subsidiaries</t>
  </si>
  <si>
    <t>Share in other comprehensive income-associate&amp;JV</t>
  </si>
  <si>
    <t>Equity holders of the parent company</t>
  </si>
  <si>
    <t>Non-controlling interest</t>
  </si>
  <si>
    <t>Investment in Bonds-non current</t>
  </si>
  <si>
    <t>Investment in Bonds-current</t>
  </si>
  <si>
    <t>Interest on bonds</t>
  </si>
  <si>
    <t>Deferred day 1 loss</t>
  </si>
  <si>
    <t>07 — Taxes (account.tax + era_id_tax_*)</t>
  </si>
  <si>
    <t>Pajak Indonesia. Field era_id_tax_category &amp; era_pmk_dpp_ratio dari modul era_id_tax_pmk + bupot.</t>
  </si>
  <si>
    <t>description</t>
  </si>
  <si>
    <t>type_tax_use</t>
  </si>
  <si>
    <t>amount_type</t>
  </si>
  <si>
    <t>amount</t>
  </si>
  <si>
    <t>era_id_tax_category</t>
  </si>
  <si>
    <t>era_pmk_dpp_ratio</t>
  </si>
  <si>
    <t>tax_group</t>
  </si>
  <si>
    <t>price_include_override</t>
  </si>
  <si>
    <t>include_base_amount</t>
  </si>
  <si>
    <t>invoice_repartition_account</t>
  </si>
  <si>
    <t>refund_repartition_account</t>
  </si>
  <si>
    <t>active</t>
  </si>
  <si>
    <t>Nama Pajak</t>
  </si>
  <si>
    <t>Description (label invoice)</t>
  </si>
  <si>
    <t>Tipe</t>
  </si>
  <si>
    <t>Mode</t>
  </si>
  <si>
    <t>Nilai (%/IDR)</t>
  </si>
  <si>
    <t>Kategori ID Tax</t>
  </si>
  <si>
    <t>DPP Nilai Lain Ratio</t>
  </si>
  <si>
    <t>Tax Group</t>
  </si>
  <si>
    <t>Price Include?</t>
  </si>
  <si>
    <t>Include Base?</t>
  </si>
  <si>
    <t>Akun Repartisi (Faktur)</t>
  </si>
  <si>
    <t>Akun Repartisi (Retur)</t>
  </si>
  <si>
    <t>Aktif</t>
  </si>
  <si>
    <t>Contoh: TAX-PPN-12-DPP.</t>
  </si>
  <si>
    <t>sale / purchase / none.</t>
  </si>
  <si>
    <t>percent / fixed / division / group.</t>
  </si>
  <si>
    <t>Negatif = pemotongan (PPh). Contoh: -2 (PPh 23 2%).</t>
  </si>
  <si>
    <t>ppn / ppn_bm / pph_21 / pph_22 / pph_23 / pph_25 / pph_26 / pph_4_2 / pph_final / wht.</t>
  </si>
  <si>
    <t>Misal 0.9166666667 utk efektif 11% pada statutory 12%.</t>
  </si>
  <si>
    <t>Nama group, mis "PPN", "PPN Impor", "PPh 23".</t>
  </si>
  <si>
    <t>tax_excluded (default) / tax_included.</t>
  </si>
  <si>
    <t>TRUE/FALSE.</t>
  </si>
  <si>
    <t>External ID akun GL.</t>
  </si>
  <si>
    <t>Default TRUE.</t>
  </si>
  <si>
    <t>TAX-PPN-12-DPP</t>
  </si>
  <si>
    <t>PPN 12% DPP Nilai Lain 11/12 (Keluaran)</t>
  </si>
  <si>
    <t>PPN 12% DPP 11/12 (efektif 11%)</t>
  </si>
  <si>
    <t>sale</t>
  </si>
  <si>
    <t>percent</t>
  </si>
  <si>
    <t>ppn</t>
  </si>
  <si>
    <t>PPN</t>
  </si>
  <si>
    <t>tax_excluded</t>
  </si>
  <si>
    <t>TAX-PPN-12-DPP-IN</t>
  </si>
  <si>
    <t>PPN 12% DPP Nilai Lain 11/12 (Masukan)</t>
  </si>
  <si>
    <t>purchase</t>
  </si>
  <si>
    <t>TAX-PPN-12-FULL</t>
  </si>
  <si>
    <t>PPN 12% Penuh (Keluaran)</t>
  </si>
  <si>
    <t>PPN 12%</t>
  </si>
  <si>
    <t>TAX-PPH23-2</t>
  </si>
  <si>
    <t>PPh 23 Sewa Peralatan 2% (Potong)</t>
  </si>
  <si>
    <t>PPh 23 2%</t>
  </si>
  <si>
    <t>pph_23</t>
  </si>
  <si>
    <t>PPh 23</t>
  </si>
  <si>
    <t>TAX-PPH22-IMPOR-25</t>
  </si>
  <si>
    <t>PPh 22 Impor 2.5% (API)</t>
  </si>
  <si>
    <t>PPh 22 Impor 2.5%</t>
  </si>
  <si>
    <t>pph_22</t>
  </si>
  <si>
    <t>PPh 22 Impor</t>
  </si>
  <si>
    <t>TAX-PPN-IMPORT-12</t>
  </si>
  <si>
    <t>PPN Impor 12%</t>
  </si>
  <si>
    <t>PPN Impor</t>
  </si>
  <si>
    <t>08 — Journals (account.journal)</t>
  </si>
  <si>
    <t>Jurnal akuntansi. Field era_show_dashboard_kpi dari era_accounting (toggle KPI widget).</t>
  </si>
  <si>
    <t>type</t>
  </si>
  <si>
    <t>default_account_external_id</t>
  </si>
  <si>
    <t>suspense_account_external_id</t>
  </si>
  <si>
    <t>refund_sequence</t>
  </si>
  <si>
    <t>era_show_dashboard_kpi</t>
  </si>
  <si>
    <t>sequence_prefix</t>
  </si>
  <si>
    <t>sequence_padding</t>
  </si>
  <si>
    <t>Nama</t>
  </si>
  <si>
    <t>Kode</t>
  </si>
  <si>
    <t>Akun Default</t>
  </si>
  <si>
    <t>Suspense Account</t>
  </si>
  <si>
    <t>Currency</t>
  </si>
  <si>
    <t>Sequence Retur Terpisah?</t>
  </si>
  <si>
    <t>Tampilkan KPI Widget?</t>
  </si>
  <si>
    <t>Prefix Penomoran</t>
  </si>
  <si>
    <t>Padding</t>
  </si>
  <si>
    <t>Deskripsi</t>
  </si>
  <si>
    <t>Contoh: JRN-SALE.</t>
  </si>
  <si>
    <t>Maks 5 char, mis: SAL, PUR, BNK, INV, MISC.</t>
  </si>
  <si>
    <t>sale / purchase / cash / bank / general.</t>
  </si>
  <si>
    <t>External ID akun GL — wajib utk bank/cash.</t>
  </si>
  <si>
    <t>Untuk bank journal.</t>
  </si>
  <si>
    <t>Kosong = currency company.</t>
  </si>
  <si>
    <t>TRUE = aktif (default).</t>
  </si>
  <si>
    <t>Mis: INV/%(year)s/.</t>
  </si>
  <si>
    <t>Default 5.</t>
  </si>
  <si>
    <t>Penjualan</t>
  </si>
  <si>
    <t>SAL</t>
  </si>
  <si>
    <t>INV/%(year)s/</t>
  </si>
  <si>
    <t>Customer invoices</t>
  </si>
  <si>
    <t>JRN-CN</t>
  </si>
  <si>
    <t>Nota Kredit</t>
  </si>
  <si>
    <t>CN</t>
  </si>
  <si>
    <t>CN/%(year)s/</t>
  </si>
  <si>
    <t>Pembelian</t>
  </si>
  <si>
    <t>BILL</t>
  </si>
  <si>
    <t>BILL/%(year)s/</t>
  </si>
  <si>
    <t>Vendor bills</t>
  </si>
  <si>
    <t>JRN-CASH</t>
  </si>
  <si>
    <t>CSH</t>
  </si>
  <si>
    <t>cash</t>
  </si>
  <si>
    <t>JRN-BCA</t>
  </si>
  <si>
    <t>Bank BCA</t>
  </si>
  <si>
    <t>BCA</t>
  </si>
  <si>
    <t>bank</t>
  </si>
  <si>
    <t>JRN-MISC</t>
  </si>
  <si>
    <t>Jurnal Umum</t>
  </si>
  <si>
    <t>MISC</t>
  </si>
  <si>
    <t>general</t>
  </si>
  <si>
    <t>09 — Asset Groups (era.asset.group)</t>
  </si>
  <si>
    <t>Group aset tetap dengan default akun &amp; umur ekonomis. Dipakai saat membuat era.asset.</t>
  </si>
  <si>
    <t>default_useful_life_months</t>
  </si>
  <si>
    <t>default_asset_account_external_id</t>
  </si>
  <si>
    <t>default_depreciation_account_external_id</t>
  </si>
  <si>
    <t>default_expense_account_external_id</t>
  </si>
  <si>
    <t>Nama Group</t>
  </si>
  <si>
    <t>Umur Ekonomis (bln)</t>
  </si>
  <si>
    <t>Akun Aset</t>
  </si>
  <si>
    <t>Akun Akumulasi Penyusutan</t>
  </si>
  <si>
    <t>Akun Beban Penyusutan</t>
  </si>
  <si>
    <t>Contoh: AG-DRONE.</t>
  </si>
  <si>
    <t>Default 60 (5 tahun).</t>
  </si>
  <si>
    <t>External ID akun balance-sheet.</t>
  </si>
  <si>
    <t>External ID.</t>
  </si>
  <si>
    <t>AG-DRONE</t>
  </si>
  <si>
    <t>Drone Equipment</t>
  </si>
  <si>
    <t>DR</t>
  </si>
  <si>
    <t>AG-VEHICLE</t>
  </si>
  <si>
    <t>Kendaraan</t>
  </si>
  <si>
    <t>VHC</t>
  </si>
  <si>
    <t>AG-OFFICE</t>
  </si>
  <si>
    <t>Peralatan Kantor</t>
  </si>
  <si>
    <t>OFC</t>
  </si>
  <si>
    <t>10 — Asset Locations (era.asset.location)</t>
  </si>
  <si>
    <t>Lokasi fisik aset. Tree-structure via parent_id.</t>
  </si>
  <si>
    <t>parent_external_id</t>
  </si>
  <si>
    <t>address</t>
  </si>
  <si>
    <t>Nama Lokasi</t>
  </si>
  <si>
    <t>Parent</t>
  </si>
  <si>
    <t>Alamat</t>
  </si>
  <si>
    <t>LOC-HQ</t>
  </si>
  <si>
    <t>Head Office Gudang Palem</t>
  </si>
  <si>
    <t>HQ</t>
  </si>
  <si>
    <t>External ID lokasi induk.</t>
  </si>
  <si>
    <t>Komp. 1000 Fantasi Taman Palem Blok.z8 no.8 RT13/RW8, cengkareng, Jakarta Barat</t>
  </si>
  <si>
    <t>Gudang Utama</t>
  </si>
  <si>
    <t>01 — Product Categories (product.category)</t>
  </si>
  <si>
    <t>Master kategori produk. Buat hierarki bila perlu (isi parent_external_id).</t>
  </si>
  <si>
    <t>property_cost_method</t>
  </si>
  <si>
    <t>property_valuation</t>
  </si>
  <si>
    <t>property_account_income_categ_id</t>
  </si>
  <si>
    <t>property_account_expense_categ_id</t>
  </si>
  <si>
    <t>property_stock_account_input_categ_id</t>
  </si>
  <si>
    <t>property_stock_account_output_categ_id</t>
  </si>
  <si>
    <t>property_stock_valuation_account_id</t>
  </si>
  <si>
    <t>Nama Kategori</t>
  </si>
  <si>
    <t>Parent (External ID)</t>
  </si>
  <si>
    <t>Metode Costing</t>
  </si>
  <si>
    <t>Valuation</t>
  </si>
  <si>
    <t>Akun Pendapatan</t>
  </si>
  <si>
    <t>Akun Beban</t>
  </si>
  <si>
    <t>Stock Input Account</t>
  </si>
  <si>
    <t>Stock Output Account</t>
  </si>
  <si>
    <t>Stock Valuation Account</t>
  </si>
  <si>
    <t>Kode unik utk referensi antar sheet. Contoh: CAT-DRONE-AGRI.</t>
  </si>
  <si>
    <t>Wajib. Contoh: "Drone Pertanian", "Aksesoris", "Spare Part".</t>
  </si>
  <si>
    <t>Kosong jika root. Isi dengan external_id kategori induk.</t>
  </si>
  <si>
    <t>standard / fifo / average. Default standard.</t>
  </si>
  <si>
    <t>manual_periodic / real_time. Default manual_periodic.</t>
  </si>
  <si>
    <t>External ID dari sheet COA — akun pendapatan default.</t>
  </si>
  <si>
    <t>External ID dari sheet COA — akun beban default.</t>
  </si>
  <si>
    <t>External ID akun (untuk real_time valuation).</t>
  </si>
  <si>
    <t>Catatan internal.</t>
  </si>
  <si>
    <t>CAT-DRONE</t>
  </si>
  <si>
    <t>Drone</t>
  </si>
  <si>
    <t>standard</t>
  </si>
  <si>
    <t>manual_periodic</t>
  </si>
  <si>
    <t>Kategori induk drone</t>
  </si>
  <si>
    <t>CAT-DRONE-LIGHT SHOW</t>
  </si>
  <si>
    <t>Drone - Pertanian</t>
  </si>
  <si>
    <t>fifo</t>
  </si>
  <si>
    <t>real_time</t>
  </si>
  <si>
    <t>Drone semprot pertanian</t>
  </si>
  <si>
    <t>CAT-ACCESSORY</t>
  </si>
  <si>
    <t>Aksesoris Drone</t>
  </si>
  <si>
    <t>Baterai, propeller, dll.</t>
  </si>
  <si>
    <t>CAT-SVC-RENT</t>
  </si>
  <si>
    <t>Jasa Sewa</t>
  </si>
  <si>
    <t>Pendapatan sewa</t>
  </si>
  <si>
    <t>04 — Customers (res.partner, customer_rank ≥ 1)</t>
  </si>
  <si>
    <t>Pelanggan. Tambahan field era_credit_limit_active dari era_accounting; l10n_id_* dari modul lokalisasi Indonesia.</t>
  </si>
  <si>
    <t>is_company</t>
  </si>
  <si>
    <t>l10n_id_kode_transaksi</t>
  </si>
  <si>
    <t>l10n_id_nik</t>
  </si>
  <si>
    <t>state_name</t>
  </si>
  <si>
    <t>city</t>
  </si>
  <si>
    <t>zip</t>
  </si>
  <si>
    <t>street</t>
  </si>
  <si>
    <t>street2</t>
  </si>
  <si>
    <t>phone</t>
  </si>
  <si>
    <t>mobile</t>
  </si>
  <si>
    <t>email</t>
  </si>
  <si>
    <t>website</t>
  </si>
  <si>
    <t>customer_rank</t>
  </si>
  <si>
    <t>property_payment_term</t>
  </si>
  <si>
    <t>property_account_receivable</t>
  </si>
  <si>
    <t>credit_limit</t>
  </si>
  <si>
    <t>era_credit_limit_active</t>
  </si>
  <si>
    <t>property_product_pricelist</t>
  </si>
  <si>
    <t>industry</t>
  </si>
  <si>
    <t>ref</t>
  </si>
  <si>
    <t>comment</t>
  </si>
  <si>
    <t>Nama / Perusahaan</t>
  </si>
  <si>
    <t>Badan Usaha?</t>
  </si>
  <si>
    <t>NPWP</t>
  </si>
  <si>
    <t>Kode Transaksi FP</t>
  </si>
  <si>
    <t>NIK</t>
  </si>
  <si>
    <t>Provinsi</t>
  </si>
  <si>
    <t>Kota</t>
  </si>
  <si>
    <t>Kode Pos</t>
  </si>
  <si>
    <t>Alamat (lanjutan)</t>
  </si>
  <si>
    <t>Telepon</t>
  </si>
  <si>
    <t>HP</t>
  </si>
  <si>
    <t>Email</t>
  </si>
  <si>
    <t>Website</t>
  </si>
  <si>
    <t>Customer Rank</t>
  </si>
  <si>
    <t>Termin Pembayaran</t>
  </si>
  <si>
    <t>Akun Piutang Override</t>
  </si>
  <si>
    <t>Credit Limit (IDR)</t>
  </si>
  <si>
    <t>Aktifkan Credit Limit?</t>
  </si>
  <si>
    <t>Pricelist</t>
  </si>
  <si>
    <t>Industri</t>
  </si>
  <si>
    <t>Internal Reference</t>
  </si>
  <si>
    <t>Kode unik partner. Contoh: CUST-001.</t>
  </si>
  <si>
    <t>Nama pelanggan.</t>
  </si>
  <si>
    <t>TRUE = perusahaan, FALSE = perorangan.</t>
  </si>
  <si>
    <t>External ID company bila ini contact person.</t>
  </si>
  <si>
    <t>Format 15-16 digit Indonesia. Wajib utk PKP / penerbitan FP.</t>
  </si>
  <si>
    <t>Default 01 (penyerahan kena PPN). Lihat Reference Lists.</t>
  </si>
  <si>
    <t>Wajib utk WP OP tanpa NPWP (e-Bupot).</t>
  </si>
  <si>
    <t>ID/SG/MY/...</t>
  </si>
  <si>
    <t>&gt;= 1 untuk customer. Default 1.</t>
  </si>
  <si>
    <t>Mis: "Net 30 Days", "Cash", "Net 60 Days".</t>
  </si>
  <si>
    <t>External ID akun. Kosong = pakai default kategori.</t>
  </si>
  <si>
    <t>0 = tidak dibatasi.</t>
  </si>
  <si>
    <t>TRUE → warning saat post invoice yg melewati limit.</t>
  </si>
  <si>
    <t>Nama pricelist (opsional).</t>
  </si>
  <si>
    <t>CUST-001</t>
  </si>
  <si>
    <t>PT Agro Nusantara</t>
  </si>
  <si>
    <t>01.234.567.8-901.000</t>
  </si>
  <si>
    <t>01</t>
  </si>
  <si>
    <t>Jawa Barat</t>
  </si>
  <si>
    <t>Bandung</t>
  </si>
  <si>
    <t>40123</t>
  </si>
  <si>
    <t>Jl. Asia Afrika No. 1</t>
  </si>
  <si>
    <t>+62-22-1234567</t>
  </si>
  <si>
    <t>+62-812-3456-7890</t>
  </si>
  <si>
    <t>finance@agronusantara.co.id</t>
  </si>
  <si>
    <t>agronusantara.co.id</t>
  </si>
  <si>
    <t>Net 30 Days</t>
  </si>
  <si>
    <t>Agriculture</t>
  </si>
  <si>
    <t>Top tier client</t>
  </si>
  <si>
    <t>CUST-002-PIC</t>
  </si>
  <si>
    <t>Budi Santoso</t>
  </si>
  <si>
    <t>3201234567890123</t>
  </si>
  <si>
    <t>+62-811-2222-3333</t>
  </si>
  <si>
    <t>budi@agronusantara.co.id</t>
  </si>
  <si>
    <t>PIC procurement</t>
  </si>
  <si>
    <t>CUST-003</t>
  </si>
  <si>
    <t>CV Surya Tani</t>
  </si>
  <si>
    <t>02.345.678.9-012.000</t>
  </si>
  <si>
    <t>Jawa Tengah</t>
  </si>
  <si>
    <t>Solo</t>
  </si>
  <si>
    <t>57123</t>
  </si>
  <si>
    <t>Jl. Slamet Riyadi 88</t>
  </si>
  <si>
    <t>admin@suryatani.id</t>
  </si>
  <si>
    <t>Net 14 Days</t>
  </si>
  <si>
    <t>ARKA</t>
  </si>
  <si>
    <t>PT Mahardika Insani Adiwarma</t>
  </si>
  <si>
    <t>0819-1015-5558</t>
  </si>
  <si>
    <t>PT Industri Pameran Nusantara</t>
  </si>
  <si>
    <t>PT Era Inovasi Otomotif</t>
  </si>
  <si>
    <t>0812-2816-2176</t>
  </si>
  <si>
    <t>PT Omega Film</t>
  </si>
  <si>
    <t>0818-135-935</t>
  </si>
  <si>
    <t>PT Jakarta Tourisindo</t>
  </si>
  <si>
    <t>0896-1170-6539</t>
  </si>
  <si>
    <t>PT Data Citra Mandiri</t>
  </si>
  <si>
    <t>PT Taman Impian Jaya Ancol</t>
  </si>
  <si>
    <t>0857-1162-1849</t>
  </si>
  <si>
    <t>PT Interforum Convex</t>
  </si>
  <si>
    <t>0818-275-805</t>
  </si>
  <si>
    <t>PT Dinamika Neomedia Semesta</t>
  </si>
  <si>
    <t>0811-1995-3934</t>
  </si>
  <si>
    <t>Panitia Harmoni Imlek Nusantara 2026</t>
  </si>
  <si>
    <t>57878826702600 / 3171024211840004</t>
  </si>
  <si>
    <t>0812-1384-0353</t>
  </si>
  <si>
    <t>PT Wira Pamungkas Pariwara</t>
  </si>
  <si>
    <t>0878-8697-8653</t>
  </si>
  <si>
    <t>DNR Kreasi</t>
  </si>
  <si>
    <t>03.276.942.4-009.000</t>
  </si>
  <si>
    <t>AIM</t>
  </si>
  <si>
    <t>05 — Principals / Vendors (res.partner, supplier_rank ≥ 1)</t>
  </si>
  <si>
    <t>Principal/distributor &amp; service center. Field principal_partner_id dan service_center_partner_id pada stock.lot mereferensi sheet ini.</t>
  </si>
  <si>
    <t>supplier_rank</t>
  </si>
  <si>
    <t>is_principal</t>
  </si>
  <si>
    <t>is_service_center</t>
  </si>
  <si>
    <t>warranty_default_months</t>
  </si>
  <si>
    <t>property_account_payable</t>
  </si>
  <si>
    <t>property_purchase_currency</t>
  </si>
  <si>
    <t>default_pph_tax</t>
  </si>
  <si>
    <t>default_ppn_tax</t>
  </si>
  <si>
    <t>bank_name</t>
  </si>
  <si>
    <t>bank_account</t>
  </si>
  <si>
    <t>bank_acc_holder</t>
  </si>
  <si>
    <t>Nama Principal / Vendor</t>
  </si>
  <si>
    <t>NPWP / Tax ID</t>
  </si>
  <si>
    <t>Provinsi/State</t>
  </si>
  <si>
    <t>Supplier Rank</t>
  </si>
  <si>
    <t>Adalah Principal?</t>
  </si>
  <si>
    <t>Adalah Service Center?</t>
  </si>
  <si>
    <t>Warranty Default (bulan)</t>
  </si>
  <si>
    <t>Akun Hutang Override</t>
  </si>
  <si>
    <t>Currency Pembelian</t>
  </si>
  <si>
    <t>Pajak PPh Default</t>
  </si>
  <si>
    <t>Pajak PPN Default</t>
  </si>
  <si>
    <t>Bank</t>
  </si>
  <si>
    <t>Nomor Rekening</t>
  </si>
  <si>
    <t>Nama Pemilik Rekening</t>
  </si>
  <si>
    <t>Kode unik. Contoh: PART-DJI-ID.</t>
  </si>
  <si>
    <t>Wajib utk pemotongan PPh &amp; faktur masukan.</t>
  </si>
  <si>
    <t>ID/CN/US/SG/...</t>
  </si>
  <si>
    <t>Default 1.</t>
  </si>
  <si>
    <t>TRUE bila berperan sebagai principal/manufacturer drone.</t>
  </si>
  <si>
    <t>TRUE bila pusat servis 3rd-party.</t>
  </si>
  <si>
    <t>Misal 12. Dipakai saat purchase order.</t>
  </si>
  <si>
    <t>External ID akun.</t>
  </si>
  <si>
    <t>IDR / USD / CNY.</t>
  </si>
  <si>
    <t>External ID pajak (mis. TAX-PPH23-2). Auto saat vendor bill.</t>
  </si>
  <si>
    <t>External ID pajak input.</t>
  </si>
  <si>
    <t>PART-DJI-ID</t>
  </si>
  <si>
    <t>DJI Indonesia</t>
  </si>
  <si>
    <t>01.999.000.0-001.000</t>
  </si>
  <si>
    <t>DKI Jakarta</t>
  </si>
  <si>
    <t>Jakarta</t>
  </si>
  <si>
    <t>12190</t>
  </si>
  <si>
    <t>SCBD Lot 14</t>
  </si>
  <si>
    <t>+62-21-29853000</t>
  </si>
  <si>
    <t>support@dji-id.com</t>
  </si>
  <si>
    <t>dji.com</t>
  </si>
  <si>
    <t>0123456789</t>
  </si>
  <si>
    <t>PT DJI Indonesia</t>
  </si>
  <si>
    <t>Authorised distributor</t>
  </si>
  <si>
    <t>PART-AUTEL-CN</t>
  </si>
  <si>
    <t>Autel Robotics Co. Ltd.</t>
  </si>
  <si>
    <t>Guangdong</t>
  </si>
  <si>
    <t>Shenzhen</t>
  </si>
  <si>
    <t>518000</t>
  </si>
  <si>
    <t>Bantian Subdistrict</t>
  </si>
  <si>
    <t>+86-755-1234-5678</t>
  </si>
  <si>
    <t>sales@autelrobotics.com</t>
  </si>
  <si>
    <t>autelrobotics.com</t>
  </si>
  <si>
    <t>50% DP / 50% B/L</t>
  </si>
  <si>
    <t>USD</t>
  </si>
  <si>
    <t>Direct factory</t>
  </si>
  <si>
    <t>PART-SVC-AERO</t>
  </si>
  <si>
    <t>Aero Service Center Bandung</t>
  </si>
  <si>
    <t>03.111.222.3-404.000</t>
  </si>
  <si>
    <t>40115</t>
  </si>
  <si>
    <t>Jl. Setiabudi 200</t>
  </si>
  <si>
    <t>+62-22-2034567</t>
  </si>
  <si>
    <t>service@aerosvc.id</t>
  </si>
  <si>
    <t>Mandiri</t>
  </si>
  <si>
    <t>1234567890</t>
  </si>
  <si>
    <t>PT Aero Servis Bandung</t>
  </si>
  <si>
    <t>3rd-party repair</t>
  </si>
  <si>
    <t>Damoda drones provider</t>
  </si>
  <si>
    <t>PT Helpio Glovin Teknologi</t>
  </si>
  <si>
    <t>76.865.572.2-036.000</t>
  </si>
  <si>
    <t>finance@ubiklan.com</t>
  </si>
  <si>
    <t>Drone show executor partner</t>
  </si>
  <si>
    <t>PT. Asuransi Umum Bumiputeramuda 1967</t>
  </si>
  <si>
    <t>01.309.882.7-062.000</t>
  </si>
  <si>
    <t>Drone show insurance</t>
  </si>
  <si>
    <t>Hubei Pan Asia America Trading CO.,LTD</t>
  </si>
  <si>
    <t>China Merchants Bank</t>
  </si>
  <si>
    <t>Damoda drone design system vendor</t>
  </si>
  <si>
    <t>02 — Products / Drones (product.template)</t>
  </si>
  <si>
    <t>Master produk: drone, spare part, baterai, jasa sewa, drone kit. Field rent_ok / extra_hourly / extra_daily berasal dari era_rental; is_drone_kit dari era_rental_drone.</t>
  </si>
  <si>
    <t>default_code</t>
  </si>
  <si>
    <t>barcode</t>
  </si>
  <si>
    <t>is_storable</t>
  </si>
  <si>
    <t>tracking</t>
  </si>
  <si>
    <t>categ_external_id</t>
  </si>
  <si>
    <t>uom_name</t>
  </si>
  <si>
    <t>uom_po_name</t>
  </si>
  <si>
    <t>list_price</t>
  </si>
  <si>
    <t>standard_price</t>
  </si>
  <si>
    <t>taxes_id_external_ids</t>
  </si>
  <si>
    <t>supplier_taxes_id_external_ids</t>
  </si>
  <si>
    <t>sale_ok</t>
  </si>
  <si>
    <t>purchase_ok</t>
  </si>
  <si>
    <t>rent_ok</t>
  </si>
  <si>
    <t>extra_hourly</t>
  </si>
  <si>
    <t>extra_daily</t>
  </si>
  <si>
    <t>is_drone_kit</t>
  </si>
  <si>
    <t>weight</t>
  </si>
  <si>
    <t>volume</t>
  </si>
  <si>
    <t>description_sale</t>
  </si>
  <si>
    <t>description_purchase</t>
  </si>
  <si>
    <t>principal_external_id</t>
  </si>
  <si>
    <t>warranty_months</t>
  </si>
  <si>
    <t>Internal Reference (SKU)</t>
  </si>
  <si>
    <t>Barcode</t>
  </si>
  <si>
    <t>Nama Produk</t>
  </si>
  <si>
    <t>Storable?</t>
  </si>
  <si>
    <t>Tracking</t>
  </si>
  <si>
    <t>Kategori (External ID)</t>
  </si>
  <si>
    <t>Satuan (UoM)</t>
  </si>
  <si>
    <t>Satuan Pembelian</t>
  </si>
  <si>
    <t>Harga Jual</t>
  </si>
  <si>
    <t>Harga Pokok (Cost)</t>
  </si>
  <si>
    <t>Pajak Penjualan</t>
  </si>
  <si>
    <t>Pajak Pembelian</t>
  </si>
  <si>
    <t>Bisa Dijual?</t>
  </si>
  <si>
    <t>Bisa Dibeli?</t>
  </si>
  <si>
    <t>Bisa Disewakan?</t>
  </si>
  <si>
    <t>Late Fee per Jam</t>
  </si>
  <si>
    <t>Late Fee per Hari</t>
  </si>
  <si>
    <t>Drone Kit?</t>
  </si>
  <si>
    <t>Berat (kg)</t>
  </si>
  <si>
    <t>Volume (m3)</t>
  </si>
  <si>
    <t>Deskripsi Jual</t>
  </si>
  <si>
    <t>Deskripsi Beli</t>
  </si>
  <si>
    <t>Principal Default</t>
  </si>
  <si>
    <t>Warranty (bln)</t>
  </si>
  <si>
    <t>Kode unik. Contoh: PRD-DJI-AGRAS-T40.</t>
  </si>
  <si>
    <t>SKU/Internal Reference. Contoh: DJI-T40-001.</t>
  </si>
  <si>
    <t>EAN/UPC opsional.</t>
  </si>
  <si>
    <t>Wajib. Nama lengkap produk.</t>
  </si>
  <si>
    <t>consu / service / combo. Untuk drone fisik gunakan 'consu' dengan is_storable=TRUE (Odoo 18).</t>
  </si>
  <si>
    <t>TRUE bila ingin di-track stoknya. Wajib utk drone &amp; spare part.</t>
  </si>
  <si>
    <t>serial / lot / none. Drone unit = serial (wajib utk drone card).</t>
  </si>
  <si>
    <t>External ID dari sheet Categories.</t>
  </si>
  <si>
    <t>Default: Units.</t>
  </si>
  <si>
    <t>Harga satuan IDR. Contoh: 280000000.</t>
  </si>
  <si>
    <t>External ID dari sheet Taxes, pisahkan dgn "|" bila lebih dari satu. Contoh: TAX-PPN-12-DPP|TAX-PPH23-2.</t>
  </si>
  <si>
    <t>TRUE → muncul di rental order (era_rental).</t>
  </si>
  <si>
    <t>Tarif keterlambatan per jam. IDR.</t>
  </si>
  <si>
    <t>Tarif keterlambatan per hari. IDR.</t>
  </si>
  <si>
    <t>TRUE → komponennya didefinisikan di sheet Drone_Kit_Components.</t>
  </si>
  <si>
    <t>External ID Principal (sheet Principals).</t>
  </si>
  <si>
    <t>Default warranty principal saat purchase.</t>
  </si>
  <si>
    <t>PRD-DJI-T40</t>
  </si>
  <si>
    <t>DJI-T40-001</t>
  </si>
  <si>
    <t>DJI Agras T40</t>
  </si>
  <si>
    <t>consu</t>
  </si>
  <si>
    <t>serial</t>
  </si>
  <si>
    <t>CAT-DRONE-AGRI</t>
  </si>
  <si>
    <t>Units</t>
  </si>
  <si>
    <t>TAX-PPN-IMPORT-12|TAX-PPH22-IMPOR-25</t>
  </si>
  <si>
    <t>Drone semprot 40L</t>
  </si>
  <si>
    <t>Imported via principal</t>
  </si>
  <si>
    <t>PRD-BATTERY-T40</t>
  </si>
  <si>
    <t>BAT-T40-001</t>
  </si>
  <si>
    <t>Battery T40 30000mAh</t>
  </si>
  <si>
    <t>lot</t>
  </si>
  <si>
    <t>PRD-KIT-AGRAS</t>
  </si>
  <si>
    <t>KIT-AGRAS-T40</t>
  </si>
  <si>
    <t>Kit Sewa Agras T40</t>
  </si>
  <si>
    <t>service</t>
  </si>
  <si>
    <t>none</t>
  </si>
  <si>
    <t>Paket sewa drone agras + 4 baterai + charger</t>
  </si>
  <si>
    <t>Jasa Drone Show 100 Unit</t>
  </si>
  <si>
    <t>Service</t>
  </si>
  <si>
    <t>Package</t>
  </si>
  <si>
    <t>- Up to 15 formations
- Show duration: Up to 15 mins include takeoff and landing
- Include drone show operations
- Include flight permit 
- Free documentation
- Exclude take off and landing venue permits</t>
  </si>
  <si>
    <t>Jasa Drone Show 200 Unit</t>
  </si>
  <si>
    <t>Jasa Drone Show 300 Unit</t>
  </si>
  <si>
    <t>Jasa Drone Show 400 Unit</t>
  </si>
  <si>
    <t>Jasa Drone Show 500 Unit</t>
  </si>
  <si>
    <t>Jasa Drone Show 600 Unit</t>
  </si>
  <si>
    <t>Jasa Drone Show 700 Unit</t>
  </si>
  <si>
    <t>Jasa Drone Show 800 Unit</t>
  </si>
  <si>
    <t>Jasa Drone Show 900 Unit</t>
  </si>
  <si>
    <t>Jasa Drone Show 1000 Unit</t>
  </si>
  <si>
    <t>Jasa Drone Show 1400 Unit</t>
  </si>
  <si>
    <t>Sewa Drone Paket 100 Unit</t>
  </si>
  <si>
    <t>Sewa Drone Paket 200 Unit</t>
  </si>
  <si>
    <t>Sewa Drone Paket 300 Unit</t>
  </si>
  <si>
    <t>Sewa Drone Paket 400 Unit</t>
  </si>
  <si>
    <t>Sewa Drone Paket 500 Unit</t>
  </si>
  <si>
    <t>Sewa Drone Paket 600 Unit</t>
  </si>
  <si>
    <t>Sewa Drone Paket 700 Unit</t>
  </si>
  <si>
    <t>Sewa Drone Paket 800 Unit</t>
  </si>
  <si>
    <t>Sewa Drone Paket 900 Unit</t>
  </si>
  <si>
    <t>Sewa Drone Paket 1000 Unit</t>
  </si>
  <si>
    <t>Sewa Drone Paket 1400 Unit</t>
  </si>
  <si>
    <t>03 — Rental Pricing Tiers (era.rental.pricing)</t>
  </si>
  <si>
    <t>Tier harga sewa per produk. Engine memilih tier terbesar yang muat dalam durasi. Pastikan tier terkecil ada (jadi floor untuk durasi pendek).</t>
  </si>
  <si>
    <t>product_external_id</t>
  </si>
  <si>
    <t>duration</t>
  </si>
  <si>
    <t>unit</t>
  </si>
  <si>
    <t>price</t>
  </si>
  <si>
    <t>company_external_id</t>
  </si>
  <si>
    <t>Produk (External ID)</t>
  </si>
  <si>
    <t>Durasi</t>
  </si>
  <si>
    <t>Unit</t>
  </si>
  <si>
    <t>Harga (IDR)</t>
  </si>
  <si>
    <t>Company</t>
  </si>
  <si>
    <t>External ID produk dari sheet Products. Produk harus rent_ok=TRUE.</t>
  </si>
  <si>
    <t>Bilangan bulat positif. Contoh: 1, 7.</t>
  </si>
  <si>
    <t>hour / day / week / month.</t>
  </si>
  <si>
    <t>Tarif sewa untuk durasi tsb.</t>
  </si>
  <si>
    <t>Default IDR.</t>
  </si>
  <si>
    <t>External ID company. Kosong = company aktif.</t>
  </si>
  <si>
    <t>day</t>
  </si>
  <si>
    <t>month</t>
  </si>
  <si>
    <t>week</t>
  </si>
  <si>
    <t>11 — Drone Kit Components (era.drone.kit.component)</t>
  </si>
  <si>
    <t>Komponen yang akan auto-expand saat menambahkan kit ke rental order. Sum price_share sebaiknya = 100.</t>
  </si>
  <si>
    <t>kit_product_external_id</t>
  </si>
  <si>
    <t>sequence</t>
  </si>
  <si>
    <t>component_product_external_id</t>
  </si>
  <si>
    <t>qty</t>
  </si>
  <si>
    <t>price_share</t>
  </si>
  <si>
    <t>Produk Kit (External ID)</t>
  </si>
  <si>
    <t>Urutan</t>
  </si>
  <si>
    <t>Komponen</t>
  </si>
  <si>
    <t>Qty</t>
  </si>
  <si>
    <t>Price Share %</t>
  </si>
  <si>
    <t>Produk dgn is_drone_kit=TRUE di sheet Products.</t>
  </si>
  <si>
    <t>Default 10.</t>
  </si>
  <si>
    <t>Produk komponen (rent_ok=TRUE).</t>
  </si>
  <si>
    <t>Persentase alokasi harga (sum 100). 0 = harga komponen 0.</t>
  </si>
  <si>
    <t>PRD-KIT-AIM</t>
  </si>
  <si>
    <t>IT1-DAMODA-DMD400W-V3</t>
  </si>
  <si>
    <t>PER UNIT DRONE</t>
  </si>
  <si>
    <t>PRD-BATTERY-DMD400W-V3</t>
  </si>
  <si>
    <t>PER UNIT BATTERY</t>
  </si>
  <si>
    <t>PRD-CHARGER-DMD400W-V3</t>
  </si>
  <si>
    <t>Charger station</t>
  </si>
  <si>
    <t>PRD-REMOTE CONTROL-DMD400W</t>
  </si>
  <si>
    <t>PRD-BATTERY RTK-DMD400W-V3</t>
  </si>
  <si>
    <t>PRD-ANEMOMETER-DMD400W-V3</t>
  </si>
  <si>
    <t>PRD-SPECTRUM ANALIZER-DMD400W-V3</t>
  </si>
  <si>
    <t>PRD-ADAPTOR ACCES POINT-DMD400W-V3</t>
  </si>
  <si>
    <t>PRD-TRIPOD &amp; AP-DMD400W-V3</t>
  </si>
  <si>
    <t>PRD-CONNECTOR-DMD400W-V3</t>
  </si>
  <si>
    <t>PRD-BATTERY CHECKER-DMD400W-V3</t>
  </si>
  <si>
    <t>PRD-DRONE PROPELLER-DMD400W-V3</t>
  </si>
  <si>
    <t>PRD-BASE STATION -DMD400W-V3</t>
  </si>
  <si>
    <t>PRD-RADIO TRANSMIT-DMD400W-V3</t>
  </si>
  <si>
    <t>12 — Damage Charge Tariffs (era.damage.charge.tariff)</t>
  </si>
  <si>
    <t>Tarif kerusakan per (komponen, severity). Hybrid model: minor auto-charge; major/total_loss → approval.</t>
  </si>
  <si>
    <t>severity</t>
  </si>
  <si>
    <t>charge_amount</t>
  </si>
  <si>
    <t>Severity</t>
  </si>
  <si>
    <t>Nominal Charge (IDR)</t>
  </si>
  <si>
    <t>Aktif?</t>
  </si>
  <si>
    <t>Produk komponen (mis. propeller, gimbal).</t>
  </si>
  <si>
    <t>minor (auto-charge) / major / total_loss (perlu approval).</t>
  </si>
  <si>
    <t>Kosong = berlaku global.</t>
  </si>
  <si>
    <t>DMG-PROP-MIN</t>
  </si>
  <si>
    <t>Propeller minor</t>
  </si>
  <si>
    <t>PRD-PROPELLER-DMD400W-V3</t>
  </si>
  <si>
    <t>minor</t>
  </si>
  <si>
    <t>Pecah ujung</t>
  </si>
  <si>
    <t>DMG-GIMBAL-MAJ</t>
  </si>
  <si>
    <t>Gimbal major</t>
  </si>
  <si>
    <t>PRD-PROPELLER GUARD-DMD400W-V3</t>
  </si>
  <si>
    <t>major</t>
  </si>
  <si>
    <t>Perlu approval</t>
  </si>
  <si>
    <t>DMG-DRONE-TOT</t>
  </si>
  <si>
    <t>Drone total loss</t>
  </si>
  <si>
    <t>PRD-DRONE-DMD400W-V3</t>
  </si>
  <si>
    <t>total_loss</t>
  </si>
  <si>
    <t>Penggantian penuh</t>
  </si>
  <si>
    <t>13 — Drone Cards (era.drone.card)</t>
  </si>
  <si>
    <t>Master per-unit drone (SN-level). Field warranty &amp; firmware ditulis ke stock.lot oleh era_rental_drone. state machine: available ↔ rented ↔ in_repair ↔ retired.</t>
  </si>
  <si>
    <t>serial_lot_name</t>
  </si>
  <si>
    <t>owner_company_external_id</t>
  </si>
  <si>
    <t>current_location</t>
  </si>
  <si>
    <t>condition</t>
  </si>
  <si>
    <t>state</t>
  </si>
  <si>
    <t>manufacture_date</t>
  </si>
  <si>
    <t>principal_vendor_external_id</t>
  </si>
  <si>
    <t>flight_hours</t>
  </si>
  <si>
    <t>last_service_date</t>
  </si>
  <si>
    <t>next_service_date</t>
  </si>
  <si>
    <t>asset_external_id</t>
  </si>
  <si>
    <t>warranty_start</t>
  </si>
  <si>
    <t>warranty_end</t>
  </si>
  <si>
    <t>service_center_external_id</t>
  </si>
  <si>
    <t>firmware_version</t>
  </si>
  <si>
    <t>last_calibration_at</t>
  </si>
  <si>
    <t>notes</t>
  </si>
  <si>
    <t>Serial Number</t>
  </si>
  <si>
    <t>Model (Produk)</t>
  </si>
  <si>
    <t>Stock Lot Name</t>
  </si>
  <si>
    <t>Current Location</t>
  </si>
  <si>
    <t>Kondisi</t>
  </si>
  <si>
    <t>State</t>
  </si>
  <si>
    <t>Tgl Produksi</t>
  </si>
  <si>
    <t>Principal/Vendor</t>
  </si>
  <si>
    <t>Flight Hours</t>
  </si>
  <si>
    <t>Last Service Date</t>
  </si>
  <si>
    <t>Next Service Date</t>
  </si>
  <si>
    <t>Asset (era.asset)</t>
  </si>
  <si>
    <t>Warranty Start</t>
  </si>
  <si>
    <t>Warranty End</t>
  </si>
  <si>
    <t>3rd-Party Service Center</t>
  </si>
  <si>
    <t>Firmware</t>
  </si>
  <si>
    <t>Last Calibration</t>
  </si>
  <si>
    <t>Contoh: DRN-T40-0001.</t>
  </si>
  <si>
    <t>SN unit drone.</t>
  </si>
  <si>
    <t>External ID dari sheet Products (tracking=serial).</t>
  </si>
  <si>
    <t>Nama stock.lot. Biasanya sama dengan SN.</t>
  </si>
  <si>
    <t>Kosong = company aktif.</t>
  </si>
  <si>
    <t>warehouse / in_transit / at_customer / in_repair_local / in_repair_overseas / disposed / sold.</t>
  </si>
  <si>
    <t>new / good / needs_inspection / malfunction / unrepairable.</t>
  </si>
  <si>
    <t>available / rented / in_repair / retired.</t>
  </si>
  <si>
    <t>YYYY-MM-DD.</t>
  </si>
  <si>
    <t>External ID dari sheet Principals.</t>
  </si>
  <si>
    <t>Default 0.</t>
  </si>
  <si>
    <t>Tautkan ke aset tetap yang sudah dibuat.</t>
  </si>
  <si>
    <t>DRN-T40-0001</t>
  </si>
  <si>
    <t>T40SN0001</t>
  </si>
  <si>
    <t>warehouse</t>
  </si>
  <si>
    <t>new</t>
  </si>
  <si>
    <t>available</t>
  </si>
  <si>
    <t>2026-01-15</t>
  </si>
  <si>
    <t>2026-07-15</t>
  </si>
  <si>
    <t>2026-01-20</t>
  </si>
  <si>
    <t>2027-01-20</t>
  </si>
  <si>
    <t>v01.00.0500</t>
  </si>
  <si>
    <t>2026-04-01</t>
  </si>
  <si>
    <t>Unit demo</t>
  </si>
  <si>
    <t>DRN-T40-0002</t>
  </si>
  <si>
    <t>T40SN0002</t>
  </si>
  <si>
    <t>good</t>
  </si>
  <si>
    <t>2026-02-10</t>
  </si>
  <si>
    <t>2026-04-20</t>
  </si>
  <si>
    <t>2026-10-20</t>
  </si>
  <si>
    <t>2026-02-15</t>
  </si>
  <si>
    <t>2027-02-15</t>
  </si>
  <si>
    <t>Reference Lists — daftar nilai untuk kolom selection</t>
  </si>
  <si>
    <t>account.account.account_type</t>
  </si>
  <si>
    <t>Value</t>
  </si>
  <si>
    <t>Label</t>
  </si>
  <si>
    <t>Bank and Cash</t>
  </si>
  <si>
    <t>Receivable</t>
  </si>
  <si>
    <t>asset_non_current</t>
  </si>
  <si>
    <t>Prepayments</t>
  </si>
  <si>
    <t>Payable</t>
  </si>
  <si>
    <t>liability_credit_card</t>
  </si>
  <si>
    <t>Credit Card</t>
  </si>
  <si>
    <t>liability_non_current</t>
  </si>
  <si>
    <t>off_balance</t>
  </si>
  <si>
    <t>Off-Balance Sheet</t>
  </si>
  <si>
    <t>account.account.era_report_tag</t>
  </si>
  <si>
    <t>Operating Revenue</t>
  </si>
  <si>
    <t>Other Revenue</t>
  </si>
  <si>
    <t>Cost of Goods Sold</t>
  </si>
  <si>
    <t>Operating Expense</t>
  </si>
  <si>
    <t>other_expense</t>
  </si>
  <si>
    <t>Other Expense</t>
  </si>
  <si>
    <t>Financing / Interest Expense</t>
  </si>
  <si>
    <t>Tax Expense</t>
  </si>
  <si>
    <t>Current Asset</t>
  </si>
  <si>
    <t>Fixed Asset</t>
  </si>
  <si>
    <t>Current Liability</t>
  </si>
  <si>
    <t>non_current_liability</t>
  </si>
  <si>
    <t>Non-current Liability</t>
  </si>
  <si>
    <t>account.tax.era_id_tax_category</t>
  </si>
  <si>
    <t>PPN (VAT)</t>
  </si>
  <si>
    <t>ppn_bm</t>
  </si>
  <si>
    <t>PPnBM (Luxury VAT)</t>
  </si>
  <si>
    <t>pph_21</t>
  </si>
  <si>
    <t>PPh 21 (Personal Income)</t>
  </si>
  <si>
    <t>PPh 22 (Import / Purchase)</t>
  </si>
  <si>
    <t>PPh 23 (Services)</t>
  </si>
  <si>
    <t>pph_25</t>
  </si>
  <si>
    <t>PPh 25 (Installment)</t>
  </si>
  <si>
    <t>pph_26</t>
  </si>
  <si>
    <t>PPh 26 (Non-resident)</t>
  </si>
  <si>
    <t>pph_4_2</t>
  </si>
  <si>
    <t>PPh Final 4(2)</t>
  </si>
  <si>
    <t>pph_final</t>
  </si>
  <si>
    <t>PPh Final (Other)</t>
  </si>
  <si>
    <t>wht</t>
  </si>
  <si>
    <t>Other Withholding</t>
  </si>
  <si>
    <t>account.tax.type_tax_use</t>
  </si>
  <si>
    <t>Sales</t>
  </si>
  <si>
    <t>Purchases</t>
  </si>
  <si>
    <t>None</t>
  </si>
  <si>
    <t>account.tax.amount_type</t>
  </si>
  <si>
    <t>Percentage</t>
  </si>
  <si>
    <t>fixed</t>
  </si>
  <si>
    <t>Fixed Amount</t>
  </si>
  <si>
    <t>division</t>
  </si>
  <si>
    <t>Division</t>
  </si>
  <si>
    <t>group</t>
  </si>
  <si>
    <t>Group of Taxes</t>
  </si>
  <si>
    <t>account.journal.type</t>
  </si>
  <si>
    <t>Purchase</t>
  </si>
  <si>
    <t>Cash</t>
  </si>
  <si>
    <t>Miscellaneous</t>
  </si>
  <si>
    <t>product.template.type</t>
  </si>
  <si>
    <t>Goods (consu, set is_storable for stock-tracked)</t>
  </si>
  <si>
    <t>combo</t>
  </si>
  <si>
    <t>Combo</t>
  </si>
  <si>
    <t>product.template.tracking</t>
  </si>
  <si>
    <t>By Unique Serial Number</t>
  </si>
  <si>
    <t>By Lots</t>
  </si>
  <si>
    <t>No Tracking</t>
  </si>
  <si>
    <t>era.rental.pricing.unit</t>
  </si>
  <si>
    <t>hour</t>
  </si>
  <si>
    <t>Hour</t>
  </si>
  <si>
    <t>Day</t>
  </si>
  <si>
    <t>Week</t>
  </si>
  <si>
    <t>Month</t>
  </si>
  <si>
    <t>era.drone.card.condition</t>
  </si>
  <si>
    <t>New</t>
  </si>
  <si>
    <t>Good</t>
  </si>
  <si>
    <t>needs_inspection</t>
  </si>
  <si>
    <t>Needs Inspection</t>
  </si>
  <si>
    <t>malfunction</t>
  </si>
  <si>
    <t>Malfunction</t>
  </si>
  <si>
    <t>unrepairable</t>
  </si>
  <si>
    <t>Unrepairable</t>
  </si>
  <si>
    <t>era.drone.card.current_location</t>
  </si>
  <si>
    <t>Warehouse</t>
  </si>
  <si>
    <t>in_transit</t>
  </si>
  <si>
    <t>In Transit</t>
  </si>
  <si>
    <t>at_customer</t>
  </si>
  <si>
    <t>At Customer Site</t>
  </si>
  <si>
    <t>in_repair_local</t>
  </si>
  <si>
    <t>In Repair (Local)</t>
  </si>
  <si>
    <t>in_repair_overseas</t>
  </si>
  <si>
    <t>In Repair (Overseas)</t>
  </si>
  <si>
    <t>disposed</t>
  </si>
  <si>
    <t>Disposed</t>
  </si>
  <si>
    <t>sold</t>
  </si>
  <si>
    <t>Sold</t>
  </si>
  <si>
    <t>era.drone.card.state</t>
  </si>
  <si>
    <t>Available</t>
  </si>
  <si>
    <t>rented</t>
  </si>
  <si>
    <t>Rented</t>
  </si>
  <si>
    <t>in_repair</t>
  </si>
  <si>
    <t>In Repair</t>
  </si>
  <si>
    <t>retired</t>
  </si>
  <si>
    <t>Retired</t>
  </si>
  <si>
    <t>stock.lot.drone_lot_kind</t>
  </si>
  <si>
    <t>drone</t>
  </si>
  <si>
    <t>battery</t>
  </si>
  <si>
    <t>Battery</t>
  </si>
  <si>
    <t>controller</t>
  </si>
  <si>
    <t>Controller</t>
  </si>
  <si>
    <t>gimbal</t>
  </si>
  <si>
    <t>Gimbal</t>
  </si>
  <si>
    <t>camera</t>
  </si>
  <si>
    <t>Camera</t>
  </si>
  <si>
    <t>propeller</t>
  </si>
  <si>
    <t>Propeller</t>
  </si>
  <si>
    <t>charger</t>
  </si>
  <si>
    <t>Charger</t>
  </si>
  <si>
    <t>accessory</t>
  </si>
  <si>
    <t>Accessory</t>
  </si>
  <si>
    <t>era.damage.charge.tariff.severity</t>
  </si>
  <si>
    <t>Minor (auto-charge)</t>
  </si>
  <si>
    <t>Major (perlu approval)</t>
  </si>
  <si>
    <t>Total Loss (perlu approval manager)</t>
  </si>
  <si>
    <t>l10n_id_kode_transaksi (Faktur Pajak)</t>
  </si>
  <si>
    <t>Penyerahan kena PPN</t>
  </si>
  <si>
    <t>02</t>
  </si>
  <si>
    <t>Penyerahan ke pemungut PPN — Bendaharawan</t>
  </si>
  <si>
    <t>03</t>
  </si>
  <si>
    <t>Penyerahan ke pemungut PPN selain bendaharawan</t>
  </si>
  <si>
    <t>04</t>
  </si>
  <si>
    <t>Penyerahan dgn DPP Nilai Lain</t>
  </si>
  <si>
    <t>06</t>
  </si>
  <si>
    <t>Penyerahan lain</t>
  </si>
  <si>
    <t>07</t>
  </si>
  <si>
    <t>PPN tidak dipungut</t>
  </si>
  <si>
    <t>08</t>
  </si>
  <si>
    <t>PPN dibebaskan</t>
  </si>
  <si>
    <t>09</t>
  </si>
  <si>
    <t>Penyerahan aktiva (Pasal 16D)</t>
  </si>
  <si>
    <t>PT Aero Reksa Kreasi Angkasa | PT Aero Inovasi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</si>
</sst>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16">
    <font>
      <sz val="11"/>
      <color theme="1"/>
      <name val="Calibri"/>
      <scheme val="minor"/>
    </font>
    <font>
      <b/>
      <sz val="14"/>
      <color rgb="FF1F4E78"/>
      <name val="Calibri"/>
    </font>
    <font>
      <sz val="10"/>
      <color theme="1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0"/>
      <color rgb="FF1F4E78"/>
      <name val="Calibri"/>
    </font>
    <font>
      <i/>
      <sz val="10"/>
      <color rgb="FF80808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000000"/>
      <name val="Calibri"/>
    </font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i/>
      <sz val="9"/>
      <color theme="1"/>
      <name val="Calibri"/>
    </font>
    <font>
      <i/>
      <sz val="10"/>
      <color theme="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8" fillId="0" borderId="0" xfId="0" applyFont="1"/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4" fillId="5" borderId="1" xfId="0" applyFont="1" applyFill="1" applyBorder="1"/>
    <xf numFmtId="0" fontId="7" fillId="5" borderId="1" xfId="0" applyFont="1" applyFill="1" applyBorder="1"/>
    <xf numFmtId="3" fontId="7" fillId="0" borderId="1" xfId="0" applyNumberFormat="1" applyFont="1" applyBorder="1"/>
    <xf numFmtId="164" fontId="8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164" fontId="13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164" fontId="14" fillId="0" borderId="1" xfId="0" applyNumberFormat="1" applyFont="1" applyBorder="1" applyAlignment="1">
      <alignment horizontal="left" vertical="top" wrapText="1"/>
    </xf>
    <xf numFmtId="164" fontId="7" fillId="0" borderId="1" xfId="0" applyNumberFormat="1" applyFont="1" applyBorder="1"/>
    <xf numFmtId="0" fontId="4" fillId="2" borderId="5" xfId="0" applyFont="1" applyFill="1" applyBorder="1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4" borderId="2" xfId="0" applyFont="1" applyFill="1" applyBorder="1"/>
    <xf numFmtId="0" fontId="15" fillId="0" borderId="3" xfId="0" applyFont="1" applyBorder="1"/>
    <xf numFmtId="0" fontId="1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sqref="A1:F1"/>
    </sheetView>
  </sheetViews>
  <sheetFormatPr defaultColWidth="14.42578125" defaultRowHeight="15" customHeight="1"/>
  <cols>
    <col min="1" max="1" width="30" customWidth="1"/>
    <col min="2" max="6" width="18" customWidth="1"/>
    <col min="7" max="26" width="8.7109375" customWidth="1"/>
  </cols>
  <sheetData>
    <row r="1" spans="1:6" ht="18.75">
      <c r="A1" s="28" t="s">
        <v>0</v>
      </c>
      <c r="B1" s="29"/>
      <c r="C1" s="29"/>
      <c r="D1" s="29"/>
      <c r="E1" s="29"/>
      <c r="F1" s="29"/>
    </row>
    <row r="2" spans="1:6" ht="409.6" customHeight="1">
      <c r="A2" s="30" t="s">
        <v>1</v>
      </c>
      <c r="B2" s="29"/>
      <c r="C2" s="29"/>
      <c r="D2" s="29"/>
      <c r="E2" s="29"/>
      <c r="F2" s="29"/>
    </row>
    <row r="3" spans="1:6" ht="15" customHeight="1">
      <c r="A3" s="29"/>
      <c r="B3" s="29"/>
      <c r="C3" s="29"/>
      <c r="D3" s="29"/>
      <c r="E3" s="29"/>
      <c r="F3" s="29"/>
    </row>
    <row r="4" spans="1:6" ht="15" customHeight="1">
      <c r="A4" s="29"/>
      <c r="B4" s="29"/>
      <c r="C4" s="29"/>
      <c r="D4" s="29"/>
      <c r="E4" s="29"/>
      <c r="F4" s="29"/>
    </row>
    <row r="5" spans="1:6" ht="15" customHeight="1">
      <c r="A5" s="29"/>
      <c r="B5" s="29"/>
      <c r="C5" s="29"/>
      <c r="D5" s="29"/>
      <c r="E5" s="29"/>
      <c r="F5" s="29"/>
    </row>
    <row r="6" spans="1:6" ht="15" customHeight="1">
      <c r="A6" s="29"/>
      <c r="B6" s="29"/>
      <c r="C6" s="29"/>
      <c r="D6" s="29"/>
      <c r="E6" s="29"/>
      <c r="F6" s="29"/>
    </row>
    <row r="7" spans="1:6" ht="15" customHeight="1">
      <c r="A7" s="29"/>
      <c r="B7" s="29"/>
      <c r="C7" s="29"/>
      <c r="D7" s="29"/>
      <c r="E7" s="29"/>
      <c r="F7" s="29"/>
    </row>
    <row r="8" spans="1:6" ht="15" customHeight="1">
      <c r="A8" s="29"/>
      <c r="B8" s="29"/>
      <c r="C8" s="29"/>
      <c r="D8" s="29"/>
      <c r="E8" s="29"/>
      <c r="F8" s="29"/>
    </row>
    <row r="9" spans="1:6" ht="15" customHeight="1">
      <c r="A9" s="29"/>
      <c r="B9" s="29"/>
      <c r="C9" s="29"/>
      <c r="D9" s="29"/>
      <c r="E9" s="29"/>
      <c r="F9" s="29"/>
    </row>
    <row r="10" spans="1:6" ht="15" customHeight="1">
      <c r="A10" s="29"/>
      <c r="B10" s="29"/>
      <c r="C10" s="29"/>
      <c r="D10" s="29"/>
      <c r="E10" s="29"/>
      <c r="F10" s="29"/>
    </row>
    <row r="11" spans="1:6" ht="15" customHeight="1">
      <c r="A11" s="29"/>
      <c r="B11" s="29"/>
      <c r="C11" s="29"/>
      <c r="D11" s="29"/>
      <c r="E11" s="29"/>
      <c r="F11" s="29"/>
    </row>
    <row r="12" spans="1:6" ht="15" customHeight="1">
      <c r="A12" s="29"/>
      <c r="B12" s="29"/>
      <c r="C12" s="29"/>
      <c r="D12" s="29"/>
      <c r="E12" s="29"/>
      <c r="F12" s="29"/>
    </row>
    <row r="13" spans="1:6" ht="15" customHeight="1">
      <c r="A13" s="29"/>
      <c r="B13" s="29"/>
      <c r="C13" s="29"/>
      <c r="D13" s="29"/>
      <c r="E13" s="29"/>
      <c r="F13" s="29"/>
    </row>
    <row r="14" spans="1:6" ht="15" customHeight="1">
      <c r="A14" s="29"/>
      <c r="B14" s="29"/>
      <c r="C14" s="29"/>
      <c r="D14" s="29"/>
      <c r="E14" s="29"/>
      <c r="F14" s="29"/>
    </row>
    <row r="15" spans="1:6" ht="15" customHeight="1">
      <c r="A15" s="29"/>
      <c r="B15" s="29"/>
      <c r="C15" s="29"/>
      <c r="D15" s="29"/>
      <c r="E15" s="29"/>
      <c r="F15" s="29"/>
    </row>
    <row r="16" spans="1:6" ht="15" customHeight="1">
      <c r="A16" s="29"/>
      <c r="B16" s="29"/>
      <c r="C16" s="29"/>
      <c r="D16" s="29"/>
      <c r="E16" s="29"/>
      <c r="F16" s="29"/>
    </row>
    <row r="17" spans="1:6" ht="15" customHeight="1">
      <c r="A17" s="29"/>
      <c r="B17" s="29"/>
      <c r="C17" s="29"/>
      <c r="D17" s="29"/>
      <c r="E17" s="29"/>
      <c r="F17" s="29"/>
    </row>
    <row r="18" spans="1:6" ht="15" customHeight="1">
      <c r="A18" s="29"/>
      <c r="B18" s="29"/>
      <c r="C18" s="29"/>
      <c r="D18" s="29"/>
      <c r="E18" s="29"/>
      <c r="F18" s="29"/>
    </row>
    <row r="19" spans="1:6" ht="15" customHeight="1">
      <c r="A19" s="29"/>
      <c r="B19" s="29"/>
      <c r="C19" s="29"/>
      <c r="D19" s="29"/>
      <c r="E19" s="29"/>
      <c r="F19" s="29"/>
    </row>
    <row r="20" spans="1:6" ht="15" customHeight="1">
      <c r="A20" s="29"/>
      <c r="B20" s="29"/>
      <c r="C20" s="29"/>
      <c r="D20" s="29"/>
      <c r="E20" s="29"/>
      <c r="F20" s="29"/>
    </row>
    <row r="21" spans="1:6" ht="15.75" customHeight="1">
      <c r="A21" s="29"/>
      <c r="B21" s="29"/>
      <c r="C21" s="29"/>
      <c r="D21" s="29"/>
      <c r="E21" s="29"/>
      <c r="F21" s="29"/>
    </row>
    <row r="22" spans="1:6" ht="15.75" customHeight="1">
      <c r="A22" s="29"/>
      <c r="B22" s="29"/>
      <c r="C22" s="29"/>
      <c r="D22" s="29"/>
      <c r="E22" s="29"/>
      <c r="F22" s="29"/>
    </row>
    <row r="23" spans="1:6" ht="15.75" customHeight="1">
      <c r="A23" s="29"/>
      <c r="B23" s="29"/>
      <c r="C23" s="29"/>
      <c r="D23" s="29"/>
      <c r="E23" s="29"/>
      <c r="F23" s="29"/>
    </row>
    <row r="24" spans="1:6" ht="15.75" customHeight="1">
      <c r="A24" s="29"/>
      <c r="B24" s="29"/>
      <c r="C24" s="29"/>
      <c r="D24" s="29"/>
      <c r="E24" s="29"/>
      <c r="F24" s="29"/>
    </row>
    <row r="25" spans="1:6" ht="15.75" customHeight="1">
      <c r="A25" s="29"/>
      <c r="B25" s="29"/>
      <c r="C25" s="29"/>
      <c r="D25" s="29"/>
      <c r="E25" s="29"/>
      <c r="F25" s="29"/>
    </row>
    <row r="26" spans="1:6" ht="15.75" customHeight="1">
      <c r="A26" s="29"/>
      <c r="B26" s="29"/>
      <c r="C26" s="29"/>
      <c r="D26" s="29"/>
      <c r="E26" s="29"/>
      <c r="F26" s="29"/>
    </row>
    <row r="27" spans="1:6" ht="15.75" customHeight="1">
      <c r="A27" s="29"/>
      <c r="B27" s="29"/>
      <c r="C27" s="29"/>
      <c r="D27" s="29"/>
      <c r="E27" s="29"/>
      <c r="F27" s="29"/>
    </row>
    <row r="28" spans="1:6" ht="15.75" customHeight="1">
      <c r="A28" s="29"/>
      <c r="B28" s="29"/>
      <c r="C28" s="29"/>
      <c r="D28" s="29"/>
      <c r="E28" s="29"/>
      <c r="F28" s="29"/>
    </row>
    <row r="29" spans="1:6" ht="15.75" customHeight="1">
      <c r="A29" s="29"/>
      <c r="B29" s="29"/>
      <c r="C29" s="29"/>
      <c r="D29" s="29"/>
      <c r="E29" s="29"/>
      <c r="F29" s="29"/>
    </row>
    <row r="30" spans="1:6" ht="15.75" customHeight="1">
      <c r="A30" s="29"/>
      <c r="B30" s="29"/>
      <c r="C30" s="29"/>
      <c r="D30" s="29"/>
      <c r="E30" s="29"/>
      <c r="F30" s="29"/>
    </row>
    <row r="31" spans="1:6" ht="15.75" customHeight="1">
      <c r="A31" s="29"/>
      <c r="B31" s="29"/>
      <c r="C31" s="29"/>
      <c r="D31" s="29"/>
      <c r="E31" s="29"/>
      <c r="F31" s="29"/>
    </row>
    <row r="32" spans="1:6" ht="15.75" customHeight="1">
      <c r="A32" s="29"/>
      <c r="B32" s="29"/>
      <c r="C32" s="29"/>
      <c r="D32" s="29"/>
      <c r="E32" s="29"/>
      <c r="F32" s="29"/>
    </row>
    <row r="33" spans="1:6" ht="15.75" customHeight="1">
      <c r="A33" s="29"/>
      <c r="B33" s="29"/>
      <c r="C33" s="29"/>
      <c r="D33" s="29"/>
      <c r="E33" s="29"/>
      <c r="F33" s="29"/>
    </row>
    <row r="34" spans="1:6" ht="15.75" customHeight="1">
      <c r="A34" s="29"/>
      <c r="B34" s="29"/>
      <c r="C34" s="29"/>
      <c r="D34" s="29"/>
      <c r="E34" s="29"/>
      <c r="F34" s="29"/>
    </row>
    <row r="35" spans="1:6" ht="15.75" customHeight="1">
      <c r="A35" s="29"/>
      <c r="B35" s="29"/>
      <c r="C35" s="29"/>
      <c r="D35" s="29"/>
      <c r="E35" s="29"/>
      <c r="F35" s="29"/>
    </row>
    <row r="36" spans="1:6" ht="15.75" customHeight="1">
      <c r="A36" s="29"/>
      <c r="B36" s="29"/>
      <c r="C36" s="29"/>
      <c r="D36" s="29"/>
      <c r="E36" s="29"/>
      <c r="F36" s="29"/>
    </row>
    <row r="37" spans="1:6" ht="15.75" customHeight="1">
      <c r="A37" s="29"/>
      <c r="B37" s="29"/>
      <c r="C37" s="29"/>
      <c r="D37" s="29"/>
      <c r="E37" s="29"/>
      <c r="F37" s="29"/>
    </row>
    <row r="38" spans="1:6" ht="15.75" customHeight="1">
      <c r="A38" s="29"/>
      <c r="B38" s="29"/>
      <c r="C38" s="29"/>
      <c r="D38" s="29"/>
      <c r="E38" s="29"/>
      <c r="F38" s="29"/>
    </row>
    <row r="39" spans="1:6" ht="15.75" customHeight="1">
      <c r="A39" s="29"/>
      <c r="B39" s="29"/>
      <c r="C39" s="29"/>
      <c r="D39" s="29"/>
      <c r="E39" s="29"/>
      <c r="F39" s="29"/>
    </row>
    <row r="40" spans="1:6" ht="15.75" customHeight="1">
      <c r="A40" s="29"/>
      <c r="B40" s="29"/>
      <c r="C40" s="29"/>
      <c r="D40" s="29"/>
      <c r="E40" s="29"/>
      <c r="F40" s="29"/>
    </row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4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9" sqref="B9"/>
    </sheetView>
  </sheetViews>
  <sheetFormatPr defaultColWidth="14.42578125" defaultRowHeight="15" customHeight="1"/>
  <cols>
    <col min="1" max="1" width="23" customWidth="1"/>
    <col min="2" max="3" width="18" customWidth="1"/>
    <col min="4" max="4" width="20" customWidth="1"/>
    <col min="5" max="5" width="18" customWidth="1"/>
    <col min="6" max="6" width="32" customWidth="1"/>
    <col min="7" max="7" width="34" customWidth="1"/>
    <col min="8" max="8" width="38" customWidth="1"/>
    <col min="9" max="9" width="30" customWidth="1"/>
    <col min="10" max="10" width="29" customWidth="1"/>
    <col min="11" max="11" width="30" customWidth="1"/>
    <col min="12" max="14" width="29" customWidth="1"/>
    <col min="15" max="15" width="23" customWidth="1"/>
    <col min="16" max="16" width="21" customWidth="1"/>
    <col min="17" max="26" width="8.7109375" customWidth="1"/>
  </cols>
  <sheetData>
    <row r="1" spans="1:16" ht="18.75">
      <c r="A1" s="28" t="s">
        <v>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37.5" customHeight="1">
      <c r="A2" s="31" t="s">
        <v>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4" spans="1:16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</row>
    <row r="5" spans="1:16">
      <c r="A5" s="2" t="s">
        <v>20</v>
      </c>
      <c r="B5" s="2" t="s">
        <v>21</v>
      </c>
      <c r="C5" s="3" t="s">
        <v>22</v>
      </c>
      <c r="D5" s="2" t="s">
        <v>23</v>
      </c>
      <c r="E5" s="2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3" t="s">
        <v>34</v>
      </c>
      <c r="P5" s="3" t="s">
        <v>35</v>
      </c>
    </row>
    <row r="6" spans="1:16">
      <c r="A6" s="4" t="s">
        <v>36</v>
      </c>
      <c r="B6" s="4" t="s">
        <v>36</v>
      </c>
      <c r="C6" s="4" t="s">
        <v>37</v>
      </c>
      <c r="D6" s="4" t="s">
        <v>36</v>
      </c>
      <c r="E6" s="4" t="s">
        <v>36</v>
      </c>
      <c r="F6" s="4" t="s">
        <v>38</v>
      </c>
      <c r="G6" s="4" t="s">
        <v>38</v>
      </c>
      <c r="H6" s="4" t="s">
        <v>38</v>
      </c>
      <c r="I6" s="4" t="s">
        <v>38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  <c r="O6" s="4" t="s">
        <v>38</v>
      </c>
      <c r="P6" s="4" t="s">
        <v>38</v>
      </c>
    </row>
    <row r="7" spans="1:16" ht="90" customHeight="1">
      <c r="A7" s="5" t="s">
        <v>39</v>
      </c>
      <c r="B7" s="5"/>
      <c r="C7" s="5"/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 t="s">
        <v>46</v>
      </c>
      <c r="K7" s="5" t="s">
        <v>47</v>
      </c>
      <c r="L7" s="5" t="s">
        <v>48</v>
      </c>
      <c r="M7" s="5" t="s">
        <v>49</v>
      </c>
      <c r="N7" s="5" t="s">
        <v>49</v>
      </c>
      <c r="O7" s="5"/>
      <c r="P7" s="5" t="s">
        <v>50</v>
      </c>
    </row>
    <row r="8" spans="1:16" ht="25.5">
      <c r="A8" s="6" t="s">
        <v>51</v>
      </c>
      <c r="B8" s="6" t="s">
        <v>52</v>
      </c>
      <c r="C8" s="6" t="s">
        <v>53</v>
      </c>
      <c r="D8" s="6" t="s">
        <v>54</v>
      </c>
      <c r="E8" s="6" t="s">
        <v>55</v>
      </c>
      <c r="F8" s="6" t="s">
        <v>56</v>
      </c>
      <c r="G8" s="6">
        <v>50000000</v>
      </c>
      <c r="H8" s="6">
        <v>100000000</v>
      </c>
      <c r="I8" s="6">
        <v>1</v>
      </c>
      <c r="J8" s="6">
        <v>0.5</v>
      </c>
      <c r="K8" s="6">
        <v>1</v>
      </c>
      <c r="L8" s="6">
        <v>1</v>
      </c>
      <c r="M8" s="6" t="s">
        <v>57</v>
      </c>
      <c r="N8" s="6" t="s">
        <v>58</v>
      </c>
      <c r="O8" s="6"/>
      <c r="P8" s="6" t="s">
        <v>59</v>
      </c>
    </row>
    <row r="9" spans="1:16" ht="25.5">
      <c r="A9" s="6" t="s">
        <v>60</v>
      </c>
      <c r="B9" s="6" t="s">
        <v>61</v>
      </c>
      <c r="C9" s="6" t="s">
        <v>62</v>
      </c>
      <c r="D9" s="6" t="s">
        <v>54</v>
      </c>
      <c r="E9" s="6" t="s">
        <v>55</v>
      </c>
      <c r="F9" s="6" t="s">
        <v>63</v>
      </c>
      <c r="G9" s="6">
        <v>0</v>
      </c>
      <c r="H9" s="6">
        <v>50000000</v>
      </c>
      <c r="I9" s="6">
        <v>1</v>
      </c>
      <c r="J9" s="6">
        <v>0</v>
      </c>
      <c r="K9" s="6">
        <v>1</v>
      </c>
      <c r="L9" s="6">
        <v>1</v>
      </c>
      <c r="M9" s="6" t="s">
        <v>57</v>
      </c>
      <c r="N9" s="6" t="s">
        <v>58</v>
      </c>
      <c r="O9" s="6"/>
      <c r="P9" s="6" t="s">
        <v>59</v>
      </c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21" spans="1:16" ht="15.75" customHeight="1"/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3"/>
  <sheetViews>
    <sheetView tabSelected="1"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K16" sqref="K16"/>
    </sheetView>
  </sheetViews>
  <sheetFormatPr defaultColWidth="14.42578125" defaultRowHeight="15" customHeight="1"/>
  <cols>
    <col min="1" max="2" width="18" customWidth="1"/>
    <col min="3" max="3" width="48.7109375" customWidth="1"/>
    <col min="4" max="4" width="23" customWidth="1"/>
    <col min="5" max="5" width="18" customWidth="1"/>
    <col min="6" max="6" width="24" customWidth="1"/>
    <col min="7" max="12" width="18" customWidth="1"/>
    <col min="13" max="26" width="8.7109375" customWidth="1"/>
  </cols>
  <sheetData>
    <row r="1" spans="1:12" ht="18.75">
      <c r="A1" s="28" t="s">
        <v>64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2" ht="37.5" customHeight="1">
      <c r="A2" s="31" t="s">
        <v>65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2">
      <c r="A4" s="1" t="s">
        <v>4</v>
      </c>
      <c r="B4" s="1" t="s">
        <v>66</v>
      </c>
      <c r="C4" s="1" t="s">
        <v>5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74</v>
      </c>
    </row>
    <row r="5" spans="1:12">
      <c r="A5" s="2" t="s">
        <v>75</v>
      </c>
      <c r="B5" s="2" t="s">
        <v>76</v>
      </c>
      <c r="C5" s="2" t="s">
        <v>77</v>
      </c>
      <c r="D5" s="2" t="s">
        <v>78</v>
      </c>
      <c r="E5" s="3" t="s">
        <v>79</v>
      </c>
      <c r="F5" s="3" t="s">
        <v>80</v>
      </c>
      <c r="G5" s="3" t="s">
        <v>81</v>
      </c>
      <c r="H5" s="3" t="s">
        <v>82</v>
      </c>
      <c r="I5" s="3" t="s">
        <v>83</v>
      </c>
      <c r="J5" s="3" t="s">
        <v>84</v>
      </c>
      <c r="K5" s="3" t="s">
        <v>85</v>
      </c>
      <c r="L5" s="3" t="s">
        <v>85</v>
      </c>
    </row>
    <row r="6" spans="1:12">
      <c r="A6" s="4" t="s">
        <v>36</v>
      </c>
      <c r="B6" s="4" t="s">
        <v>36</v>
      </c>
      <c r="C6" s="4" t="s">
        <v>36</v>
      </c>
      <c r="D6" s="4" t="s">
        <v>36</v>
      </c>
      <c r="E6" s="4" t="s">
        <v>38</v>
      </c>
      <c r="F6" s="4" t="s">
        <v>38</v>
      </c>
      <c r="G6" s="4" t="s">
        <v>38</v>
      </c>
      <c r="H6" s="4" t="s">
        <v>38</v>
      </c>
      <c r="I6" s="4" t="s">
        <v>38</v>
      </c>
      <c r="J6" s="4" t="s">
        <v>38</v>
      </c>
      <c r="K6" s="4" t="s">
        <v>38</v>
      </c>
      <c r="L6" s="4" t="s">
        <v>38</v>
      </c>
    </row>
    <row r="7" spans="1:12" ht="15.75" customHeight="1">
      <c r="A7" s="7">
        <v>1102000001</v>
      </c>
      <c r="B7" s="7">
        <v>1102000001</v>
      </c>
      <c r="C7" s="7" t="s">
        <v>124</v>
      </c>
      <c r="D7" s="7" t="s">
        <v>88</v>
      </c>
      <c r="E7" s="7"/>
      <c r="F7" s="7"/>
      <c r="G7" s="7" t="b">
        <v>0</v>
      </c>
      <c r="H7" s="7"/>
      <c r="I7" s="7"/>
      <c r="J7" s="7"/>
      <c r="K7" s="7"/>
      <c r="L7" s="7" t="s">
        <v>1481</v>
      </c>
    </row>
    <row r="8" spans="1:12" ht="15.75" customHeight="1">
      <c r="A8" s="7">
        <v>1102000002</v>
      </c>
      <c r="B8" s="7">
        <v>1102000002</v>
      </c>
      <c r="C8" s="7" t="s">
        <v>125</v>
      </c>
      <c r="D8" s="7" t="s">
        <v>88</v>
      </c>
      <c r="E8" s="7"/>
      <c r="F8" s="7"/>
      <c r="G8" s="7" t="b">
        <v>0</v>
      </c>
      <c r="H8" s="7"/>
      <c r="I8" s="7"/>
      <c r="J8" s="7"/>
      <c r="K8" s="7"/>
      <c r="L8" s="7" t="s">
        <v>1481</v>
      </c>
    </row>
    <row r="9" spans="1:12" ht="15.75" customHeight="1">
      <c r="A9" s="7">
        <v>1102000003</v>
      </c>
      <c r="B9" s="7">
        <v>1102000003</v>
      </c>
      <c r="C9" s="7" t="s">
        <v>126</v>
      </c>
      <c r="D9" s="7" t="s">
        <v>88</v>
      </c>
      <c r="E9" s="7"/>
      <c r="F9" s="7"/>
      <c r="G9" s="7" t="b">
        <v>0</v>
      </c>
      <c r="H9" s="7"/>
      <c r="I9" s="7"/>
      <c r="J9" s="7"/>
      <c r="K9" s="7"/>
      <c r="L9" s="7" t="s">
        <v>1481</v>
      </c>
    </row>
    <row r="10" spans="1:12" ht="15.75" customHeight="1">
      <c r="A10" s="7">
        <v>1102000004</v>
      </c>
      <c r="B10" s="7">
        <v>1102000004</v>
      </c>
      <c r="C10" s="7" t="s">
        <v>127</v>
      </c>
      <c r="D10" s="7" t="s">
        <v>88</v>
      </c>
      <c r="E10" s="7"/>
      <c r="F10" s="7"/>
      <c r="G10" s="7" t="b">
        <v>0</v>
      </c>
      <c r="H10" s="7"/>
      <c r="I10" s="7"/>
      <c r="J10" s="7"/>
      <c r="K10" s="7"/>
      <c r="L10" s="7" t="s">
        <v>1481</v>
      </c>
    </row>
    <row r="11" spans="1:12" ht="15.75" customHeight="1">
      <c r="A11" s="7">
        <v>1103019300</v>
      </c>
      <c r="B11" s="7">
        <v>1103019300</v>
      </c>
      <c r="C11" s="7" t="s">
        <v>128</v>
      </c>
      <c r="D11" s="7" t="s">
        <v>88</v>
      </c>
      <c r="E11" s="7"/>
      <c r="F11" s="7"/>
      <c r="G11" s="7" t="b">
        <v>1</v>
      </c>
      <c r="H11" s="7"/>
      <c r="I11" s="7"/>
      <c r="J11" s="7"/>
      <c r="K11" s="7"/>
      <c r="L11" s="7" t="s">
        <v>61</v>
      </c>
    </row>
    <row r="12" spans="1:12" ht="15.75" customHeight="1">
      <c r="A12" s="7">
        <v>1103019290</v>
      </c>
      <c r="B12" s="7">
        <v>1103019290</v>
      </c>
      <c r="C12" s="7" t="s">
        <v>129</v>
      </c>
      <c r="D12" s="7" t="s">
        <v>88</v>
      </c>
      <c r="E12" s="7"/>
      <c r="F12" s="7"/>
      <c r="G12" s="7" t="b">
        <v>1</v>
      </c>
      <c r="H12" s="7"/>
      <c r="I12" s="7"/>
      <c r="J12" s="7"/>
      <c r="K12" s="7"/>
      <c r="L12" s="7" t="s">
        <v>61</v>
      </c>
    </row>
    <row r="13" spans="1:12" ht="15.75" customHeight="1">
      <c r="A13" s="7">
        <v>1103019270</v>
      </c>
      <c r="B13" s="7">
        <v>1103019270</v>
      </c>
      <c r="C13" s="7" t="s">
        <v>130</v>
      </c>
      <c r="D13" s="7" t="s">
        <v>88</v>
      </c>
      <c r="E13" s="7"/>
      <c r="F13" s="7"/>
      <c r="G13" s="7" t="b">
        <v>1</v>
      </c>
      <c r="H13" s="7"/>
      <c r="I13" s="7"/>
      <c r="J13" s="7"/>
      <c r="K13" s="7"/>
      <c r="L13" s="7" t="s">
        <v>52</v>
      </c>
    </row>
    <row r="14" spans="1:12" ht="15.75" customHeight="1">
      <c r="A14" s="7">
        <v>1103019280</v>
      </c>
      <c r="B14" s="7">
        <v>1103019280</v>
      </c>
      <c r="C14" s="7" t="s">
        <v>131</v>
      </c>
      <c r="D14" s="7" t="s">
        <v>88</v>
      </c>
      <c r="E14" s="7"/>
      <c r="F14" s="7"/>
      <c r="G14" s="7" t="b">
        <v>1</v>
      </c>
      <c r="H14" s="7"/>
      <c r="I14" s="7"/>
      <c r="J14" s="7"/>
      <c r="K14" s="7"/>
      <c r="L14" s="7" t="s">
        <v>52</v>
      </c>
    </row>
    <row r="15" spans="1:12" ht="15.75" customHeight="1">
      <c r="A15" s="7">
        <v>1105010001</v>
      </c>
      <c r="B15" s="7">
        <v>1105010001</v>
      </c>
      <c r="C15" s="7" t="s">
        <v>132</v>
      </c>
      <c r="D15" s="7" t="s">
        <v>88</v>
      </c>
      <c r="E15" s="7"/>
      <c r="F15" s="7"/>
      <c r="G15" s="7" t="b">
        <v>0</v>
      </c>
      <c r="H15" s="7"/>
      <c r="I15" s="7"/>
      <c r="J15" s="7"/>
      <c r="K15" s="7"/>
      <c r="L15" s="7" t="s">
        <v>1481</v>
      </c>
    </row>
    <row r="16" spans="1:12" ht="15.75" customHeight="1">
      <c r="A16" s="7">
        <v>1105020001</v>
      </c>
      <c r="B16" s="7">
        <v>1105020001</v>
      </c>
      <c r="C16" s="7" t="s">
        <v>133</v>
      </c>
      <c r="D16" s="7" t="s">
        <v>88</v>
      </c>
      <c r="E16" s="7"/>
      <c r="F16" s="7"/>
      <c r="G16" s="7" t="b">
        <v>0</v>
      </c>
      <c r="H16" s="7"/>
      <c r="I16" s="7"/>
      <c r="J16" s="7"/>
      <c r="K16" s="7"/>
      <c r="L16" s="7" t="s">
        <v>1481</v>
      </c>
    </row>
    <row r="17" spans="1:12" ht="15.75" customHeight="1">
      <c r="A17" s="7">
        <v>1105020007</v>
      </c>
      <c r="B17" s="7">
        <v>1105020007</v>
      </c>
      <c r="C17" s="7" t="s">
        <v>134</v>
      </c>
      <c r="D17" s="7" t="s">
        <v>88</v>
      </c>
      <c r="E17" s="7"/>
      <c r="F17" s="7"/>
      <c r="G17" s="7" t="b">
        <v>0</v>
      </c>
      <c r="H17" s="7"/>
      <c r="I17" s="7"/>
      <c r="J17" s="7"/>
      <c r="K17" s="7"/>
      <c r="L17" s="7" t="s">
        <v>1481</v>
      </c>
    </row>
    <row r="18" spans="1:12" ht="15.75" customHeight="1">
      <c r="A18" s="7">
        <v>1105020008</v>
      </c>
      <c r="B18" s="7">
        <v>1105020008</v>
      </c>
      <c r="C18" s="7" t="s">
        <v>135</v>
      </c>
      <c r="D18" s="7" t="s">
        <v>88</v>
      </c>
      <c r="E18" s="7"/>
      <c r="F18" s="7"/>
      <c r="G18" s="7" t="b">
        <v>0</v>
      </c>
      <c r="H18" s="7"/>
      <c r="I18" s="7"/>
      <c r="J18" s="7"/>
      <c r="K18" s="7"/>
      <c r="L18" s="7" t="s">
        <v>1481</v>
      </c>
    </row>
    <row r="19" spans="1:12" ht="15.75" customHeight="1">
      <c r="A19" s="7">
        <v>1106000001</v>
      </c>
      <c r="B19" s="7">
        <v>1106000001</v>
      </c>
      <c r="C19" s="7" t="s">
        <v>136</v>
      </c>
      <c r="D19" s="7" t="s">
        <v>91</v>
      </c>
      <c r="E19" s="7"/>
      <c r="F19" s="7"/>
      <c r="G19" s="7" t="b">
        <v>1</v>
      </c>
      <c r="H19" s="7"/>
      <c r="I19" s="7"/>
      <c r="J19" s="7"/>
      <c r="K19" s="7"/>
      <c r="L19" s="7" t="s">
        <v>1481</v>
      </c>
    </row>
    <row r="20" spans="1:12" ht="15.75" customHeight="1">
      <c r="A20" s="7">
        <v>1106000097</v>
      </c>
      <c r="B20" s="7">
        <v>1106000097</v>
      </c>
      <c r="C20" s="7" t="s">
        <v>137</v>
      </c>
      <c r="D20" s="7" t="s">
        <v>91</v>
      </c>
      <c r="E20" s="7"/>
      <c r="F20" s="7"/>
      <c r="G20" s="7" t="b">
        <v>0</v>
      </c>
      <c r="H20" s="7"/>
      <c r="I20" s="7"/>
      <c r="J20" s="7"/>
      <c r="K20" s="7"/>
      <c r="L20" s="7" t="s">
        <v>1481</v>
      </c>
    </row>
    <row r="21" spans="1:12" ht="15.75" customHeight="1">
      <c r="A21" s="7">
        <v>1106000099</v>
      </c>
      <c r="B21" s="7">
        <v>1106000099</v>
      </c>
      <c r="C21" s="7" t="s">
        <v>138</v>
      </c>
      <c r="D21" s="7" t="s">
        <v>91</v>
      </c>
      <c r="E21" s="7"/>
      <c r="F21" s="7"/>
      <c r="G21" s="7" t="b">
        <v>0</v>
      </c>
      <c r="H21" s="7"/>
      <c r="I21" s="7"/>
      <c r="J21" s="7"/>
      <c r="K21" s="7"/>
      <c r="L21" s="7" t="s">
        <v>1481</v>
      </c>
    </row>
    <row r="22" spans="1:12" ht="15.75" customHeight="1">
      <c r="A22" s="7">
        <v>1107000001</v>
      </c>
      <c r="B22" s="7">
        <v>1107000001</v>
      </c>
      <c r="C22" s="7" t="s">
        <v>139</v>
      </c>
      <c r="D22" s="7" t="s">
        <v>91</v>
      </c>
      <c r="E22" s="7"/>
      <c r="F22" s="7"/>
      <c r="G22" s="7" t="b">
        <v>0</v>
      </c>
      <c r="H22" s="7"/>
      <c r="I22" s="7"/>
      <c r="J22" s="7"/>
      <c r="K22" s="7"/>
      <c r="L22" s="7" t="s">
        <v>1481</v>
      </c>
    </row>
    <row r="23" spans="1:12" ht="15.75" customHeight="1">
      <c r="A23" s="7">
        <v>1107000002</v>
      </c>
      <c r="B23" s="7">
        <v>1107000002</v>
      </c>
      <c r="C23" s="7" t="s">
        <v>140</v>
      </c>
      <c r="D23" s="7" t="s">
        <v>91</v>
      </c>
      <c r="E23" s="7"/>
      <c r="F23" s="7"/>
      <c r="G23" s="7" t="b">
        <v>0</v>
      </c>
      <c r="H23" s="7"/>
      <c r="I23" s="7"/>
      <c r="J23" s="7"/>
      <c r="K23" s="7"/>
      <c r="L23" s="7" t="s">
        <v>1481</v>
      </c>
    </row>
    <row r="24" spans="1:12" ht="15.75" customHeight="1">
      <c r="A24" s="7">
        <v>1107000999</v>
      </c>
      <c r="B24" s="7">
        <v>1107000999</v>
      </c>
      <c r="C24" s="7" t="s">
        <v>141</v>
      </c>
      <c r="D24" s="7" t="s">
        <v>91</v>
      </c>
      <c r="E24" s="7"/>
      <c r="F24" s="7"/>
      <c r="G24" s="7" t="b">
        <v>0</v>
      </c>
      <c r="H24" s="7"/>
      <c r="I24" s="7"/>
      <c r="J24" s="7"/>
      <c r="K24" s="7"/>
      <c r="L24" s="7" t="s">
        <v>1481</v>
      </c>
    </row>
    <row r="25" spans="1:12" ht="15.75" customHeight="1">
      <c r="A25" s="7">
        <v>1108000001</v>
      </c>
      <c r="B25" s="7">
        <v>1108000001</v>
      </c>
      <c r="C25" s="7" t="s">
        <v>142</v>
      </c>
      <c r="D25" s="7" t="s">
        <v>91</v>
      </c>
      <c r="E25" s="7"/>
      <c r="F25" s="7"/>
      <c r="G25" s="7" t="b">
        <v>0</v>
      </c>
      <c r="H25" s="7"/>
      <c r="I25" s="7"/>
      <c r="J25" s="7"/>
      <c r="K25" s="7"/>
      <c r="L25" s="7" t="s">
        <v>1481</v>
      </c>
    </row>
    <row r="26" spans="1:12" ht="15.75" customHeight="1">
      <c r="A26" s="7">
        <v>1108000002</v>
      </c>
      <c r="B26" s="7">
        <v>1108000002</v>
      </c>
      <c r="C26" s="7" t="s">
        <v>143</v>
      </c>
      <c r="D26" s="7" t="s">
        <v>91</v>
      </c>
      <c r="E26" s="7"/>
      <c r="F26" s="7"/>
      <c r="G26" s="7" t="b">
        <v>0</v>
      </c>
      <c r="H26" s="7"/>
      <c r="I26" s="7"/>
      <c r="J26" s="7"/>
      <c r="K26" s="7"/>
      <c r="L26" s="7" t="s">
        <v>1481</v>
      </c>
    </row>
    <row r="27" spans="1:12" ht="15.75" customHeight="1">
      <c r="A27" s="7">
        <v>1108000003</v>
      </c>
      <c r="B27" s="7">
        <v>1108000003</v>
      </c>
      <c r="C27" s="7" t="s">
        <v>144</v>
      </c>
      <c r="D27" s="7" t="s">
        <v>91</v>
      </c>
      <c r="E27" s="7"/>
      <c r="F27" s="7"/>
      <c r="G27" s="7" t="b">
        <v>0</v>
      </c>
      <c r="H27" s="7"/>
      <c r="I27" s="7"/>
      <c r="J27" s="7"/>
      <c r="K27" s="7"/>
      <c r="L27" s="7" t="s">
        <v>1481</v>
      </c>
    </row>
    <row r="28" spans="1:12" ht="15.75" customHeight="1">
      <c r="A28" s="7">
        <v>1108000004</v>
      </c>
      <c r="B28" s="7">
        <v>1108000004</v>
      </c>
      <c r="C28" s="7" t="s">
        <v>145</v>
      </c>
      <c r="D28" s="7" t="s">
        <v>91</v>
      </c>
      <c r="E28" s="7"/>
      <c r="F28" s="7"/>
      <c r="G28" s="7" t="b">
        <v>0</v>
      </c>
      <c r="H28" s="7"/>
      <c r="I28" s="7"/>
      <c r="J28" s="7"/>
      <c r="K28" s="7"/>
      <c r="L28" s="7" t="s">
        <v>1481</v>
      </c>
    </row>
    <row r="29" spans="1:12" ht="15.75" customHeight="1">
      <c r="A29" s="7">
        <v>1109000001</v>
      </c>
      <c r="B29" s="7">
        <v>1109000001</v>
      </c>
      <c r="C29" s="7" t="s">
        <v>146</v>
      </c>
      <c r="D29" s="7" t="s">
        <v>91</v>
      </c>
      <c r="E29" s="7"/>
      <c r="F29" s="7"/>
      <c r="G29" s="7" t="b">
        <v>0</v>
      </c>
      <c r="H29" s="7"/>
      <c r="I29" s="7"/>
      <c r="J29" s="7"/>
      <c r="K29" s="7"/>
      <c r="L29" s="7" t="s">
        <v>1481</v>
      </c>
    </row>
    <row r="30" spans="1:12" ht="15.75" customHeight="1">
      <c r="A30" s="7">
        <v>1109000002</v>
      </c>
      <c r="B30" s="7">
        <v>1109000002</v>
      </c>
      <c r="C30" s="7" t="s">
        <v>147</v>
      </c>
      <c r="D30" s="7" t="s">
        <v>91</v>
      </c>
      <c r="E30" s="7"/>
      <c r="F30" s="7"/>
      <c r="G30" s="7" t="b">
        <v>0</v>
      </c>
      <c r="H30" s="7"/>
      <c r="I30" s="7"/>
      <c r="J30" s="7"/>
      <c r="K30" s="7"/>
      <c r="L30" s="7" t="s">
        <v>1481</v>
      </c>
    </row>
    <row r="31" spans="1:12" ht="15.75" customHeight="1">
      <c r="A31" s="7">
        <v>1109000003</v>
      </c>
      <c r="B31" s="7">
        <v>1109000003</v>
      </c>
      <c r="C31" s="7" t="s">
        <v>148</v>
      </c>
      <c r="D31" s="7" t="s">
        <v>91</v>
      </c>
      <c r="E31" s="7"/>
      <c r="F31" s="7"/>
      <c r="G31" s="7" t="b">
        <v>0</v>
      </c>
      <c r="H31" s="7"/>
      <c r="I31" s="7"/>
      <c r="J31" s="7"/>
      <c r="K31" s="7"/>
      <c r="L31" s="7" t="s">
        <v>1481</v>
      </c>
    </row>
    <row r="32" spans="1:12" ht="15.75" customHeight="1">
      <c r="A32" s="7">
        <v>1109000004</v>
      </c>
      <c r="B32" s="7">
        <v>1109000004</v>
      </c>
      <c r="C32" s="7" t="s">
        <v>149</v>
      </c>
      <c r="D32" s="7" t="s">
        <v>91</v>
      </c>
      <c r="E32" s="7"/>
      <c r="F32" s="7"/>
      <c r="G32" s="7" t="b">
        <v>0</v>
      </c>
      <c r="H32" s="7"/>
      <c r="I32" s="7"/>
      <c r="J32" s="7"/>
      <c r="K32" s="7"/>
      <c r="L32" s="7" t="s">
        <v>1481</v>
      </c>
    </row>
    <row r="33" spans="1:12" ht="15.75" customHeight="1">
      <c r="A33" s="7">
        <v>1109000006</v>
      </c>
      <c r="B33" s="7">
        <v>1109000006</v>
      </c>
      <c r="C33" s="7" t="s">
        <v>150</v>
      </c>
      <c r="D33" s="7" t="s">
        <v>91</v>
      </c>
      <c r="E33" s="7"/>
      <c r="F33" s="7"/>
      <c r="G33" s="7" t="b">
        <v>1</v>
      </c>
      <c r="H33" s="7"/>
      <c r="I33" s="7"/>
      <c r="J33" s="7"/>
      <c r="K33" s="7"/>
      <c r="L33" s="7" t="s">
        <v>1481</v>
      </c>
    </row>
    <row r="34" spans="1:12" ht="15.75" customHeight="1">
      <c r="A34" s="7">
        <v>1109000008</v>
      </c>
      <c r="B34" s="7">
        <v>1109000008</v>
      </c>
      <c r="C34" s="7" t="s">
        <v>151</v>
      </c>
      <c r="D34" s="7" t="s">
        <v>91</v>
      </c>
      <c r="E34" s="7"/>
      <c r="F34" s="7"/>
      <c r="G34" s="7" t="b">
        <v>1</v>
      </c>
      <c r="H34" s="7"/>
      <c r="I34" s="7"/>
      <c r="J34" s="7"/>
      <c r="K34" s="7"/>
      <c r="L34" s="7" t="s">
        <v>1481</v>
      </c>
    </row>
    <row r="35" spans="1:12" ht="15.75" customHeight="1">
      <c r="A35" s="7">
        <v>1109000009</v>
      </c>
      <c r="B35" s="7">
        <v>1109000009</v>
      </c>
      <c r="C35" s="7" t="s">
        <v>152</v>
      </c>
      <c r="D35" s="7" t="s">
        <v>91</v>
      </c>
      <c r="E35" s="7"/>
      <c r="F35" s="7"/>
      <c r="G35" s="7" t="b">
        <v>0</v>
      </c>
      <c r="H35" s="7"/>
      <c r="I35" s="7"/>
      <c r="J35" s="7"/>
      <c r="K35" s="7"/>
      <c r="L35" s="7" t="s">
        <v>1481</v>
      </c>
    </row>
    <row r="36" spans="1:12" ht="15.75" customHeight="1">
      <c r="A36" s="7">
        <v>1109000097</v>
      </c>
      <c r="B36" s="7">
        <v>1109000097</v>
      </c>
      <c r="C36" s="7" t="s">
        <v>153</v>
      </c>
      <c r="D36" s="7" t="s">
        <v>91</v>
      </c>
      <c r="E36" s="7"/>
      <c r="F36" s="7"/>
      <c r="G36" s="7" t="b">
        <v>0</v>
      </c>
      <c r="H36" s="7"/>
      <c r="I36" s="7"/>
      <c r="J36" s="7"/>
      <c r="K36" s="7"/>
      <c r="L36" s="7" t="s">
        <v>1481</v>
      </c>
    </row>
    <row r="37" spans="1:12" ht="15.75" customHeight="1">
      <c r="A37" s="8">
        <v>1109000098</v>
      </c>
      <c r="B37" s="8">
        <v>1109000098</v>
      </c>
      <c r="C37" s="8" t="s">
        <v>154</v>
      </c>
      <c r="D37" s="8" t="s">
        <v>91</v>
      </c>
      <c r="G37" s="8" t="b">
        <v>0</v>
      </c>
      <c r="L37" s="7" t="s">
        <v>1481</v>
      </c>
    </row>
    <row r="38" spans="1:12" ht="15.75" customHeight="1">
      <c r="A38" s="8">
        <v>1109000099</v>
      </c>
      <c r="B38" s="8">
        <v>1109000099</v>
      </c>
      <c r="C38" s="8" t="s">
        <v>155</v>
      </c>
      <c r="D38" s="8" t="s">
        <v>91</v>
      </c>
      <c r="G38" s="8" t="b">
        <v>0</v>
      </c>
      <c r="L38" s="7" t="s">
        <v>1481</v>
      </c>
    </row>
    <row r="39" spans="1:12" ht="15.75" customHeight="1">
      <c r="A39" s="8">
        <v>1109000999</v>
      </c>
      <c r="B39" s="8">
        <v>1109000999</v>
      </c>
      <c r="C39" s="8" t="s">
        <v>156</v>
      </c>
      <c r="D39" s="8" t="s">
        <v>91</v>
      </c>
      <c r="G39" s="8" t="b">
        <v>0</v>
      </c>
      <c r="L39" s="7" t="s">
        <v>1481</v>
      </c>
    </row>
    <row r="40" spans="1:12" ht="15.75" customHeight="1">
      <c r="A40" s="8">
        <v>1110000001</v>
      </c>
      <c r="B40" s="8">
        <v>1110000001</v>
      </c>
      <c r="C40" s="8" t="s">
        <v>157</v>
      </c>
      <c r="D40" s="8" t="s">
        <v>91</v>
      </c>
      <c r="G40" s="8" t="b">
        <v>1</v>
      </c>
      <c r="L40" s="7" t="s">
        <v>1481</v>
      </c>
    </row>
    <row r="41" spans="1:12" ht="15.75" customHeight="1">
      <c r="A41" s="8">
        <v>1110000002</v>
      </c>
      <c r="B41" s="8">
        <v>1110000002</v>
      </c>
      <c r="C41" s="8" t="s">
        <v>158</v>
      </c>
      <c r="D41" s="8" t="s">
        <v>91</v>
      </c>
      <c r="G41" s="8" t="b">
        <v>1</v>
      </c>
      <c r="L41" s="7" t="s">
        <v>1481</v>
      </c>
    </row>
    <row r="42" spans="1:12" ht="15.75" customHeight="1">
      <c r="A42" s="8">
        <v>1110000003</v>
      </c>
      <c r="B42" s="8">
        <v>1110000003</v>
      </c>
      <c r="C42" s="8" t="s">
        <v>159</v>
      </c>
      <c r="D42" s="8" t="s">
        <v>91</v>
      </c>
      <c r="G42" s="8" t="b">
        <v>0</v>
      </c>
      <c r="L42" s="7" t="s">
        <v>1481</v>
      </c>
    </row>
    <row r="43" spans="1:12" ht="15.75" customHeight="1">
      <c r="A43" s="8">
        <v>1110000999</v>
      </c>
      <c r="B43" s="8">
        <v>1110000999</v>
      </c>
      <c r="C43" s="8" t="s">
        <v>160</v>
      </c>
      <c r="D43" s="8" t="s">
        <v>91</v>
      </c>
      <c r="G43" s="8" t="b">
        <v>0</v>
      </c>
      <c r="L43" s="7" t="s">
        <v>1481</v>
      </c>
    </row>
    <row r="44" spans="1:12" ht="15.75" customHeight="1">
      <c r="A44" s="8">
        <v>1111000001</v>
      </c>
      <c r="B44" s="8">
        <v>1111000001</v>
      </c>
      <c r="C44" s="8" t="s">
        <v>161</v>
      </c>
      <c r="D44" s="8" t="s">
        <v>91</v>
      </c>
      <c r="G44" s="8" t="b">
        <v>1</v>
      </c>
      <c r="L44" s="7" t="s">
        <v>1481</v>
      </c>
    </row>
    <row r="45" spans="1:12" ht="15.75" customHeight="1">
      <c r="A45" s="8">
        <v>1112000001</v>
      </c>
      <c r="B45" s="8">
        <v>1112000001</v>
      </c>
      <c r="C45" s="8" t="s">
        <v>162</v>
      </c>
      <c r="D45" s="8" t="s">
        <v>92</v>
      </c>
      <c r="G45" s="8" t="b">
        <v>0</v>
      </c>
      <c r="L45" s="7" t="s">
        <v>1481</v>
      </c>
    </row>
    <row r="46" spans="1:12" ht="15.75" customHeight="1">
      <c r="A46" s="8">
        <v>1112000002</v>
      </c>
      <c r="B46" s="8">
        <v>1112000002</v>
      </c>
      <c r="C46" s="8" t="s">
        <v>163</v>
      </c>
      <c r="D46" s="8" t="s">
        <v>92</v>
      </c>
      <c r="G46" s="8" t="b">
        <v>0</v>
      </c>
      <c r="L46" s="7" t="s">
        <v>1481</v>
      </c>
    </row>
    <row r="47" spans="1:12" ht="15.75" customHeight="1">
      <c r="A47" s="8">
        <v>1112000003</v>
      </c>
      <c r="B47" s="8">
        <v>1112000003</v>
      </c>
      <c r="C47" s="8" t="s">
        <v>164</v>
      </c>
      <c r="D47" s="8" t="s">
        <v>92</v>
      </c>
      <c r="G47" s="8" t="b">
        <v>0</v>
      </c>
      <c r="L47" s="7" t="s">
        <v>1481</v>
      </c>
    </row>
    <row r="48" spans="1:12" ht="15.75" customHeight="1">
      <c r="A48" s="8">
        <v>1113100001</v>
      </c>
      <c r="B48" s="8">
        <v>1113100001</v>
      </c>
      <c r="C48" s="8" t="s">
        <v>165</v>
      </c>
      <c r="D48" s="8" t="s">
        <v>92</v>
      </c>
      <c r="G48" s="8" t="b">
        <v>0</v>
      </c>
      <c r="L48" s="7" t="s">
        <v>1481</v>
      </c>
    </row>
    <row r="49" spans="1:12" ht="15.75" customHeight="1">
      <c r="A49" s="8">
        <v>1113100002</v>
      </c>
      <c r="B49" s="8">
        <v>1113100002</v>
      </c>
      <c r="C49" s="8" t="s">
        <v>166</v>
      </c>
      <c r="D49" s="8" t="s">
        <v>92</v>
      </c>
      <c r="G49" s="8" t="b">
        <v>0</v>
      </c>
      <c r="L49" s="7" t="s">
        <v>1481</v>
      </c>
    </row>
    <row r="50" spans="1:12" ht="15.75" customHeight="1">
      <c r="A50" s="8">
        <v>1113100003</v>
      </c>
      <c r="B50" s="8">
        <v>1113100003</v>
      </c>
      <c r="C50" s="8" t="s">
        <v>167</v>
      </c>
      <c r="D50" s="8" t="s">
        <v>92</v>
      </c>
      <c r="G50" s="8" t="b">
        <v>0</v>
      </c>
      <c r="L50" s="7" t="s">
        <v>1481</v>
      </c>
    </row>
    <row r="51" spans="1:12" ht="15.75" customHeight="1">
      <c r="A51" s="8">
        <v>1113100004</v>
      </c>
      <c r="B51" s="8">
        <v>1113100004</v>
      </c>
      <c r="C51" s="8" t="s">
        <v>168</v>
      </c>
      <c r="D51" s="8" t="s">
        <v>92</v>
      </c>
      <c r="G51" s="8" t="b">
        <v>0</v>
      </c>
      <c r="L51" s="7" t="s">
        <v>1481</v>
      </c>
    </row>
    <row r="52" spans="1:12" ht="15.75" customHeight="1">
      <c r="A52" s="8">
        <v>1113100005</v>
      </c>
      <c r="B52" s="8">
        <v>1113100005</v>
      </c>
      <c r="C52" s="8" t="s">
        <v>169</v>
      </c>
      <c r="D52" s="8" t="s">
        <v>92</v>
      </c>
      <c r="G52" s="8" t="b">
        <v>0</v>
      </c>
      <c r="L52" s="7" t="s">
        <v>1481</v>
      </c>
    </row>
    <row r="53" spans="1:12" ht="15.75" customHeight="1">
      <c r="A53" s="8">
        <v>1113100006</v>
      </c>
      <c r="B53" s="8">
        <v>1113100006</v>
      </c>
      <c r="C53" s="8" t="s">
        <v>170</v>
      </c>
      <c r="D53" s="8" t="s">
        <v>92</v>
      </c>
      <c r="G53" s="8" t="b">
        <v>0</v>
      </c>
      <c r="L53" s="7" t="s">
        <v>1481</v>
      </c>
    </row>
    <row r="54" spans="1:12" ht="15.75" customHeight="1">
      <c r="A54" s="8">
        <v>1113100007</v>
      </c>
      <c r="B54" s="8">
        <v>1113100007</v>
      </c>
      <c r="C54" s="8" t="s">
        <v>171</v>
      </c>
      <c r="D54" s="8" t="s">
        <v>92</v>
      </c>
      <c r="G54" s="8" t="b">
        <v>0</v>
      </c>
      <c r="L54" s="7" t="s">
        <v>1481</v>
      </c>
    </row>
    <row r="55" spans="1:12" ht="15.75" customHeight="1">
      <c r="A55" s="8">
        <v>1113100008</v>
      </c>
      <c r="B55" s="8">
        <v>1113100008</v>
      </c>
      <c r="C55" s="8" t="s">
        <v>172</v>
      </c>
      <c r="D55" s="8" t="s">
        <v>92</v>
      </c>
      <c r="G55" s="8" t="b">
        <v>0</v>
      </c>
      <c r="L55" s="7" t="s">
        <v>1481</v>
      </c>
    </row>
    <row r="56" spans="1:12" ht="15.75" customHeight="1">
      <c r="A56" s="8">
        <v>1113100009</v>
      </c>
      <c r="B56" s="8">
        <v>1113100009</v>
      </c>
      <c r="C56" s="8" t="s">
        <v>173</v>
      </c>
      <c r="D56" s="8" t="s">
        <v>92</v>
      </c>
      <c r="G56" s="8" t="b">
        <v>0</v>
      </c>
      <c r="L56" s="7" t="s">
        <v>1481</v>
      </c>
    </row>
    <row r="57" spans="1:12" ht="15.75" customHeight="1">
      <c r="A57" s="8">
        <v>1113100010</v>
      </c>
      <c r="B57" s="8">
        <v>1113100010</v>
      </c>
      <c r="C57" s="8" t="s">
        <v>174</v>
      </c>
      <c r="D57" s="8" t="s">
        <v>92</v>
      </c>
      <c r="G57" s="8" t="b">
        <v>0</v>
      </c>
      <c r="L57" s="7" t="s">
        <v>1481</v>
      </c>
    </row>
    <row r="58" spans="1:12" ht="15.75" customHeight="1">
      <c r="A58" s="8">
        <v>1113100011</v>
      </c>
      <c r="B58" s="8">
        <v>1113100011</v>
      </c>
      <c r="C58" s="8" t="s">
        <v>175</v>
      </c>
      <c r="D58" s="8" t="s">
        <v>92</v>
      </c>
      <c r="G58" s="8" t="b">
        <v>0</v>
      </c>
      <c r="L58" s="7" t="s">
        <v>1481</v>
      </c>
    </row>
    <row r="59" spans="1:12" ht="15.75" customHeight="1">
      <c r="A59" s="8">
        <v>1113100012</v>
      </c>
      <c r="B59" s="8">
        <v>1113100012</v>
      </c>
      <c r="C59" s="8" t="s">
        <v>176</v>
      </c>
      <c r="D59" s="8" t="s">
        <v>92</v>
      </c>
      <c r="G59" s="8" t="b">
        <v>0</v>
      </c>
      <c r="L59" s="7" t="s">
        <v>1481</v>
      </c>
    </row>
    <row r="60" spans="1:12" ht="15.75" customHeight="1">
      <c r="A60" s="8">
        <v>1113100013</v>
      </c>
      <c r="B60" s="8">
        <v>1113100013</v>
      </c>
      <c r="C60" s="8" t="s">
        <v>177</v>
      </c>
      <c r="D60" s="8" t="s">
        <v>92</v>
      </c>
      <c r="G60" s="8" t="b">
        <v>0</v>
      </c>
      <c r="L60" s="7" t="s">
        <v>1481</v>
      </c>
    </row>
    <row r="61" spans="1:12" ht="15.75" customHeight="1">
      <c r="A61" s="8">
        <v>1113100014</v>
      </c>
      <c r="B61" s="8">
        <v>1113100014</v>
      </c>
      <c r="C61" s="8" t="s">
        <v>178</v>
      </c>
      <c r="D61" s="8" t="s">
        <v>92</v>
      </c>
      <c r="G61" s="8" t="b">
        <v>0</v>
      </c>
      <c r="L61" s="7" t="s">
        <v>1481</v>
      </c>
    </row>
    <row r="62" spans="1:12" ht="15.75" customHeight="1">
      <c r="A62" s="8">
        <v>1113100015</v>
      </c>
      <c r="B62" s="8">
        <v>1113100015</v>
      </c>
      <c r="C62" s="8" t="s">
        <v>179</v>
      </c>
      <c r="D62" s="8" t="s">
        <v>92</v>
      </c>
      <c r="G62" s="8" t="b">
        <v>0</v>
      </c>
      <c r="L62" s="7" t="s">
        <v>1481</v>
      </c>
    </row>
    <row r="63" spans="1:12" ht="15.75" customHeight="1">
      <c r="A63" s="8">
        <v>1113100016</v>
      </c>
      <c r="B63" s="8">
        <v>1113100016</v>
      </c>
      <c r="C63" s="8" t="s">
        <v>180</v>
      </c>
      <c r="D63" s="8" t="s">
        <v>92</v>
      </c>
      <c r="G63" s="8" t="b">
        <v>0</v>
      </c>
      <c r="L63" s="7" t="s">
        <v>1481</v>
      </c>
    </row>
    <row r="64" spans="1:12" ht="15.75" customHeight="1">
      <c r="A64" s="8">
        <v>1113100021</v>
      </c>
      <c r="B64" s="8">
        <v>1113100021</v>
      </c>
      <c r="C64" s="8" t="s">
        <v>181</v>
      </c>
      <c r="D64" s="8" t="s">
        <v>92</v>
      </c>
      <c r="G64" s="8" t="b">
        <v>0</v>
      </c>
      <c r="L64" s="7" t="s">
        <v>1481</v>
      </c>
    </row>
    <row r="65" spans="1:12" ht="15.75" customHeight="1">
      <c r="A65" s="8">
        <v>1113100022</v>
      </c>
      <c r="B65" s="8">
        <v>1113100022</v>
      </c>
      <c r="C65" s="8" t="s">
        <v>182</v>
      </c>
      <c r="D65" s="8" t="s">
        <v>92</v>
      </c>
      <c r="G65" s="8" t="b">
        <v>0</v>
      </c>
      <c r="L65" s="7" t="s">
        <v>1481</v>
      </c>
    </row>
    <row r="66" spans="1:12" ht="15.75" customHeight="1">
      <c r="A66" s="8">
        <v>1113100023</v>
      </c>
      <c r="B66" s="8">
        <v>1113100023</v>
      </c>
      <c r="C66" s="8" t="s">
        <v>183</v>
      </c>
      <c r="D66" s="8" t="s">
        <v>92</v>
      </c>
      <c r="G66" s="8" t="b">
        <v>0</v>
      </c>
      <c r="L66" s="7" t="s">
        <v>1481</v>
      </c>
    </row>
    <row r="67" spans="1:12" ht="15.75" customHeight="1">
      <c r="A67" s="8">
        <v>1113100024</v>
      </c>
      <c r="B67" s="8">
        <v>1113100024</v>
      </c>
      <c r="C67" s="8" t="s">
        <v>184</v>
      </c>
      <c r="D67" s="8" t="s">
        <v>92</v>
      </c>
      <c r="G67" s="8" t="b">
        <v>0</v>
      </c>
      <c r="L67" s="7" t="s">
        <v>1481</v>
      </c>
    </row>
    <row r="68" spans="1:12" ht="15.75" customHeight="1">
      <c r="A68" s="8">
        <v>1113100025</v>
      </c>
      <c r="B68" s="8">
        <v>1113100025</v>
      </c>
      <c r="C68" s="8" t="s">
        <v>185</v>
      </c>
      <c r="D68" s="8" t="s">
        <v>92</v>
      </c>
      <c r="G68" s="8" t="b">
        <v>0</v>
      </c>
      <c r="L68" s="7" t="s">
        <v>1481</v>
      </c>
    </row>
    <row r="69" spans="1:12" ht="15.75" customHeight="1">
      <c r="A69" s="8">
        <v>1113100026</v>
      </c>
      <c r="B69" s="8">
        <v>1113100026</v>
      </c>
      <c r="C69" s="8" t="s">
        <v>186</v>
      </c>
      <c r="D69" s="8" t="s">
        <v>92</v>
      </c>
      <c r="G69" s="8" t="b">
        <v>0</v>
      </c>
      <c r="L69" s="7" t="s">
        <v>1481</v>
      </c>
    </row>
    <row r="70" spans="1:12" ht="15.75" customHeight="1">
      <c r="A70" s="8">
        <v>1113100027</v>
      </c>
      <c r="B70" s="8">
        <v>1113100027</v>
      </c>
      <c r="C70" s="8" t="s">
        <v>187</v>
      </c>
      <c r="D70" s="8" t="s">
        <v>92</v>
      </c>
      <c r="G70" s="8" t="b">
        <v>0</v>
      </c>
      <c r="L70" s="7" t="s">
        <v>1481</v>
      </c>
    </row>
    <row r="71" spans="1:12" ht="15.75" customHeight="1">
      <c r="A71" s="8">
        <v>1113100028</v>
      </c>
      <c r="B71" s="8">
        <v>1113100028</v>
      </c>
      <c r="C71" s="8" t="s">
        <v>188</v>
      </c>
      <c r="D71" s="8" t="s">
        <v>92</v>
      </c>
      <c r="G71" s="8" t="b">
        <v>0</v>
      </c>
      <c r="L71" s="7" t="s">
        <v>1481</v>
      </c>
    </row>
    <row r="72" spans="1:12" ht="15.75" customHeight="1">
      <c r="A72" s="8">
        <v>1113100029</v>
      </c>
      <c r="B72" s="8">
        <v>1113100029</v>
      </c>
      <c r="C72" s="8" t="s">
        <v>189</v>
      </c>
      <c r="D72" s="8" t="s">
        <v>92</v>
      </c>
      <c r="G72" s="8" t="b">
        <v>0</v>
      </c>
      <c r="L72" s="7" t="s">
        <v>1481</v>
      </c>
    </row>
    <row r="73" spans="1:12" ht="15.75" customHeight="1">
      <c r="A73" s="8">
        <v>1113100098</v>
      </c>
      <c r="B73" s="8">
        <v>1113100098</v>
      </c>
      <c r="C73" s="8" t="s">
        <v>190</v>
      </c>
      <c r="D73" s="8" t="s">
        <v>92</v>
      </c>
      <c r="G73" s="8" t="b">
        <v>0</v>
      </c>
      <c r="L73" s="7" t="s">
        <v>1481</v>
      </c>
    </row>
    <row r="74" spans="1:12" ht="15.75" customHeight="1">
      <c r="A74" s="8">
        <v>1113100099</v>
      </c>
      <c r="B74" s="8">
        <v>1113100099</v>
      </c>
      <c r="C74" s="8" t="s">
        <v>191</v>
      </c>
      <c r="D74" s="8" t="s">
        <v>92</v>
      </c>
      <c r="G74" s="8" t="b">
        <v>0</v>
      </c>
      <c r="L74" s="7" t="s">
        <v>1481</v>
      </c>
    </row>
    <row r="75" spans="1:12" ht="15.75" customHeight="1">
      <c r="A75" s="8">
        <v>1113200001</v>
      </c>
      <c r="B75" s="8">
        <v>1113200001</v>
      </c>
      <c r="C75" s="8" t="s">
        <v>192</v>
      </c>
      <c r="D75" s="8" t="s">
        <v>92</v>
      </c>
      <c r="G75" s="8" t="b">
        <v>0</v>
      </c>
      <c r="L75" s="7" t="s">
        <v>1481</v>
      </c>
    </row>
    <row r="76" spans="1:12" ht="15.75" customHeight="1">
      <c r="A76" s="8">
        <v>1113300001</v>
      </c>
      <c r="B76" s="8">
        <v>1113300001</v>
      </c>
      <c r="C76" s="8" t="s">
        <v>193</v>
      </c>
      <c r="D76" s="8" t="s">
        <v>92</v>
      </c>
      <c r="G76" s="8" t="b">
        <v>0</v>
      </c>
      <c r="L76" s="7" t="s">
        <v>1481</v>
      </c>
    </row>
    <row r="77" spans="1:12" ht="15.75" customHeight="1">
      <c r="A77" s="8">
        <v>1113900001</v>
      </c>
      <c r="B77" s="8">
        <v>1113900001</v>
      </c>
      <c r="C77" s="8" t="s">
        <v>194</v>
      </c>
      <c r="D77" s="8" t="s">
        <v>92</v>
      </c>
      <c r="G77" s="8" t="b">
        <v>0</v>
      </c>
      <c r="L77" s="7" t="s">
        <v>1481</v>
      </c>
    </row>
    <row r="78" spans="1:12" ht="15.75" customHeight="1">
      <c r="A78" s="8">
        <v>1113900009</v>
      </c>
      <c r="B78" s="8">
        <v>1113900009</v>
      </c>
      <c r="C78" s="8" t="s">
        <v>195</v>
      </c>
      <c r="D78" s="8" t="s">
        <v>92</v>
      </c>
      <c r="G78" s="8" t="b">
        <v>0</v>
      </c>
      <c r="L78" s="7" t="s">
        <v>1481</v>
      </c>
    </row>
    <row r="79" spans="1:12" ht="15.75" customHeight="1">
      <c r="A79" s="8">
        <v>1114000001</v>
      </c>
      <c r="B79" s="8">
        <v>1114000001</v>
      </c>
      <c r="C79" s="8" t="s">
        <v>196</v>
      </c>
      <c r="D79" s="8" t="s">
        <v>92</v>
      </c>
      <c r="G79" s="8" t="b">
        <v>0</v>
      </c>
      <c r="L79" s="7" t="s">
        <v>1481</v>
      </c>
    </row>
    <row r="80" spans="1:12" ht="15.75" customHeight="1">
      <c r="A80" s="8">
        <v>1114000002</v>
      </c>
      <c r="B80" s="8">
        <v>1114000002</v>
      </c>
      <c r="C80" s="8" t="s">
        <v>197</v>
      </c>
      <c r="D80" s="8" t="s">
        <v>92</v>
      </c>
      <c r="G80" s="8" t="b">
        <v>0</v>
      </c>
      <c r="L80" s="7" t="s">
        <v>1481</v>
      </c>
    </row>
    <row r="81" spans="1:12" ht="15.75" customHeight="1">
      <c r="A81" s="8">
        <v>1114000003</v>
      </c>
      <c r="B81" s="8">
        <v>1114000003</v>
      </c>
      <c r="C81" s="8" t="s">
        <v>198</v>
      </c>
      <c r="D81" s="8" t="s">
        <v>92</v>
      </c>
      <c r="G81" s="8" t="b">
        <v>0</v>
      </c>
      <c r="L81" s="7" t="s">
        <v>1481</v>
      </c>
    </row>
    <row r="82" spans="1:12" ht="15.75" customHeight="1">
      <c r="A82" s="8">
        <v>1114000004</v>
      </c>
      <c r="B82" s="8">
        <v>1114000004</v>
      </c>
      <c r="C82" s="8" t="s">
        <v>199</v>
      </c>
      <c r="D82" s="8" t="s">
        <v>92</v>
      </c>
      <c r="G82" s="8" t="b">
        <v>0</v>
      </c>
      <c r="L82" s="7" t="s">
        <v>1481</v>
      </c>
    </row>
    <row r="83" spans="1:12" ht="15.75" customHeight="1">
      <c r="A83" s="8">
        <v>1114000005</v>
      </c>
      <c r="B83" s="8">
        <v>1114000005</v>
      </c>
      <c r="C83" s="8" t="s">
        <v>200</v>
      </c>
      <c r="D83" s="8" t="s">
        <v>92</v>
      </c>
      <c r="G83" s="8" t="b">
        <v>0</v>
      </c>
      <c r="L83" s="7" t="s">
        <v>1481</v>
      </c>
    </row>
    <row r="84" spans="1:12" ht="15.75" customHeight="1">
      <c r="A84" s="8">
        <v>1114000006</v>
      </c>
      <c r="B84" s="8">
        <v>1114000006</v>
      </c>
      <c r="C84" s="8" t="s">
        <v>201</v>
      </c>
      <c r="D84" s="8" t="s">
        <v>92</v>
      </c>
      <c r="G84" s="8" t="b">
        <v>0</v>
      </c>
      <c r="L84" s="7" t="s">
        <v>1481</v>
      </c>
    </row>
    <row r="85" spans="1:12" ht="15.75" customHeight="1">
      <c r="A85" s="8">
        <v>1114000007</v>
      </c>
      <c r="B85" s="8">
        <v>1114000007</v>
      </c>
      <c r="C85" s="8" t="s">
        <v>202</v>
      </c>
      <c r="D85" s="8" t="s">
        <v>92</v>
      </c>
      <c r="G85" s="8" t="b">
        <v>0</v>
      </c>
      <c r="L85" s="7" t="s">
        <v>1481</v>
      </c>
    </row>
    <row r="86" spans="1:12" ht="15.75" customHeight="1">
      <c r="A86" s="8">
        <v>1114000008</v>
      </c>
      <c r="B86" s="8">
        <v>1114000008</v>
      </c>
      <c r="C86" s="8" t="s">
        <v>203</v>
      </c>
      <c r="D86" s="8" t="s">
        <v>92</v>
      </c>
      <c r="G86" s="8" t="b">
        <v>0</v>
      </c>
      <c r="L86" s="7" t="s">
        <v>1481</v>
      </c>
    </row>
    <row r="87" spans="1:12" ht="15.75" customHeight="1">
      <c r="A87" s="8">
        <v>1114000009</v>
      </c>
      <c r="B87" s="8">
        <v>1114000009</v>
      </c>
      <c r="C87" s="8" t="s">
        <v>204</v>
      </c>
      <c r="D87" s="8" t="s">
        <v>92</v>
      </c>
      <c r="G87" s="8" t="b">
        <v>0</v>
      </c>
      <c r="L87" s="7" t="s">
        <v>1481</v>
      </c>
    </row>
    <row r="88" spans="1:12" ht="15.75" customHeight="1">
      <c r="A88" s="8">
        <v>1114000010</v>
      </c>
      <c r="B88" s="8">
        <v>1114000010</v>
      </c>
      <c r="C88" s="8" t="s">
        <v>205</v>
      </c>
      <c r="D88" s="8" t="s">
        <v>92</v>
      </c>
      <c r="G88" s="8" t="b">
        <v>0</v>
      </c>
      <c r="L88" s="7" t="s">
        <v>1481</v>
      </c>
    </row>
    <row r="89" spans="1:12" ht="15.75" customHeight="1">
      <c r="A89" s="8">
        <v>1114000011</v>
      </c>
      <c r="B89" s="8">
        <v>1114000011</v>
      </c>
      <c r="C89" s="8" t="s">
        <v>206</v>
      </c>
      <c r="D89" s="8" t="s">
        <v>92</v>
      </c>
      <c r="G89" s="8" t="b">
        <v>0</v>
      </c>
      <c r="L89" s="7" t="s">
        <v>1481</v>
      </c>
    </row>
    <row r="90" spans="1:12" ht="15.75" customHeight="1">
      <c r="A90" s="8">
        <v>1114000012</v>
      </c>
      <c r="B90" s="8">
        <v>1114000012</v>
      </c>
      <c r="C90" s="8" t="s">
        <v>207</v>
      </c>
      <c r="D90" s="8" t="s">
        <v>92</v>
      </c>
      <c r="G90" s="8" t="b">
        <v>0</v>
      </c>
      <c r="L90" s="7" t="s">
        <v>1481</v>
      </c>
    </row>
    <row r="91" spans="1:12" ht="15.75" customHeight="1">
      <c r="A91" s="8">
        <v>1114000013</v>
      </c>
      <c r="B91" s="8">
        <v>1114000013</v>
      </c>
      <c r="C91" s="8" t="s">
        <v>208</v>
      </c>
      <c r="D91" s="8" t="s">
        <v>92</v>
      </c>
      <c r="G91" s="8" t="b">
        <v>0</v>
      </c>
      <c r="L91" s="7" t="s">
        <v>1481</v>
      </c>
    </row>
    <row r="92" spans="1:12" ht="15.75" customHeight="1">
      <c r="A92" s="8">
        <v>1114000014</v>
      </c>
      <c r="B92" s="8">
        <v>1114000014</v>
      </c>
      <c r="C92" s="8" t="s">
        <v>209</v>
      </c>
      <c r="D92" s="8" t="s">
        <v>92</v>
      </c>
      <c r="G92" s="8" t="b">
        <v>0</v>
      </c>
      <c r="L92" s="7" t="s">
        <v>1481</v>
      </c>
    </row>
    <row r="93" spans="1:12" ht="15.75" customHeight="1">
      <c r="A93" s="8">
        <v>1114000015</v>
      </c>
      <c r="B93" s="8">
        <v>1114000015</v>
      </c>
      <c r="C93" s="8" t="s">
        <v>210</v>
      </c>
      <c r="D93" s="8" t="s">
        <v>92</v>
      </c>
      <c r="G93" s="8" t="b">
        <v>0</v>
      </c>
      <c r="L93" s="7" t="s">
        <v>1481</v>
      </c>
    </row>
    <row r="94" spans="1:12" ht="15.75" customHeight="1">
      <c r="A94" s="8">
        <v>1114000024</v>
      </c>
      <c r="B94" s="8">
        <v>1114000024</v>
      </c>
      <c r="C94" s="8" t="s">
        <v>211</v>
      </c>
      <c r="D94" s="8" t="s">
        <v>92</v>
      </c>
      <c r="G94" s="8" t="b">
        <v>0</v>
      </c>
      <c r="L94" s="7" t="s">
        <v>1481</v>
      </c>
    </row>
    <row r="95" spans="1:12" ht="15.75" customHeight="1">
      <c r="A95" s="8">
        <v>1114000096</v>
      </c>
      <c r="B95" s="8">
        <v>1114000096</v>
      </c>
      <c r="C95" s="8" t="s">
        <v>212</v>
      </c>
      <c r="D95" s="8" t="s">
        <v>92</v>
      </c>
      <c r="G95" s="8" t="b">
        <v>0</v>
      </c>
      <c r="L95" s="7" t="s">
        <v>1481</v>
      </c>
    </row>
    <row r="96" spans="1:12" ht="15.75" customHeight="1">
      <c r="A96" s="8">
        <v>1114000098</v>
      </c>
      <c r="B96" s="8">
        <v>1114000098</v>
      </c>
      <c r="C96" s="8" t="s">
        <v>213</v>
      </c>
      <c r="D96" s="8" t="s">
        <v>92</v>
      </c>
      <c r="G96" s="8" t="b">
        <v>0</v>
      </c>
      <c r="L96" s="7" t="s">
        <v>1481</v>
      </c>
    </row>
    <row r="97" spans="1:12" ht="15.75" customHeight="1">
      <c r="A97" s="8">
        <v>1114000099</v>
      </c>
      <c r="B97" s="8">
        <v>1114000099</v>
      </c>
      <c r="C97" s="8" t="s">
        <v>214</v>
      </c>
      <c r="D97" s="8" t="s">
        <v>92</v>
      </c>
      <c r="G97" s="8" t="b">
        <v>0</v>
      </c>
      <c r="L97" s="7" t="s">
        <v>1481</v>
      </c>
    </row>
    <row r="98" spans="1:12" ht="15.75" customHeight="1">
      <c r="A98" s="8">
        <v>1115100001</v>
      </c>
      <c r="B98" s="8">
        <v>1115100001</v>
      </c>
      <c r="C98" s="8" t="s">
        <v>215</v>
      </c>
      <c r="D98" s="8" t="s">
        <v>216</v>
      </c>
      <c r="G98" s="8" t="b">
        <v>1</v>
      </c>
      <c r="L98" s="7" t="s">
        <v>1481</v>
      </c>
    </row>
    <row r="99" spans="1:12" ht="15.75" customHeight="1">
      <c r="A99" s="8">
        <v>1115200001</v>
      </c>
      <c r="B99" s="8">
        <v>1115200001</v>
      </c>
      <c r="C99" s="8" t="s">
        <v>217</v>
      </c>
      <c r="D99" s="8" t="s">
        <v>216</v>
      </c>
      <c r="G99" s="8" t="b">
        <v>1</v>
      </c>
      <c r="L99" s="7" t="s">
        <v>1481</v>
      </c>
    </row>
    <row r="100" spans="1:12" ht="15.75" customHeight="1">
      <c r="A100" s="8">
        <v>1115300001</v>
      </c>
      <c r="B100" s="8">
        <v>1115300001</v>
      </c>
      <c r="C100" s="8" t="s">
        <v>218</v>
      </c>
      <c r="D100" s="8" t="s">
        <v>216</v>
      </c>
      <c r="G100" s="8" t="b">
        <v>0</v>
      </c>
      <c r="L100" s="7" t="s">
        <v>1481</v>
      </c>
    </row>
    <row r="101" spans="1:12" ht="15.75" customHeight="1">
      <c r="A101" s="8">
        <v>1115600001</v>
      </c>
      <c r="B101" s="8">
        <v>1115600001</v>
      </c>
      <c r="C101" s="8" t="s">
        <v>219</v>
      </c>
      <c r="D101" s="8" t="s">
        <v>216</v>
      </c>
      <c r="G101" s="8" t="b">
        <v>1</v>
      </c>
      <c r="L101" s="7" t="s">
        <v>1481</v>
      </c>
    </row>
    <row r="102" spans="1:12" ht="15.75" customHeight="1">
      <c r="A102" s="8">
        <v>1115600002</v>
      </c>
      <c r="B102" s="8">
        <v>1115600002</v>
      </c>
      <c r="C102" s="8" t="s">
        <v>220</v>
      </c>
      <c r="D102" s="8" t="s">
        <v>216</v>
      </c>
      <c r="G102" s="8" t="b">
        <v>0</v>
      </c>
      <c r="L102" s="7" t="s">
        <v>1481</v>
      </c>
    </row>
    <row r="103" spans="1:12" ht="15.75" customHeight="1">
      <c r="A103" s="8">
        <v>1116100001</v>
      </c>
      <c r="B103" s="8">
        <v>1116100001</v>
      </c>
      <c r="C103" s="8" t="s">
        <v>221</v>
      </c>
      <c r="D103" s="8" t="s">
        <v>216</v>
      </c>
      <c r="G103" s="8" t="b">
        <v>0</v>
      </c>
      <c r="L103" s="7" t="s">
        <v>1481</v>
      </c>
    </row>
    <row r="104" spans="1:12" ht="15.75" customHeight="1">
      <c r="A104" s="8">
        <v>1116100002</v>
      </c>
      <c r="B104" s="8">
        <v>1116100002</v>
      </c>
      <c r="C104" s="8" t="s">
        <v>222</v>
      </c>
      <c r="D104" s="8" t="s">
        <v>216</v>
      </c>
      <c r="G104" s="8" t="b">
        <v>0</v>
      </c>
      <c r="L104" s="7" t="s">
        <v>1481</v>
      </c>
    </row>
    <row r="105" spans="1:12" ht="15.75" customHeight="1">
      <c r="A105" s="8">
        <v>1116100003</v>
      </c>
      <c r="B105" s="8">
        <v>1116100003</v>
      </c>
      <c r="C105" s="8" t="s">
        <v>223</v>
      </c>
      <c r="D105" s="8" t="s">
        <v>216</v>
      </c>
      <c r="G105" s="8" t="b">
        <v>0</v>
      </c>
      <c r="L105" s="7" t="s">
        <v>1481</v>
      </c>
    </row>
    <row r="106" spans="1:12" ht="15.75" customHeight="1">
      <c r="A106" s="8">
        <v>1116100004</v>
      </c>
      <c r="B106" s="8">
        <v>1116100004</v>
      </c>
      <c r="C106" s="8" t="s">
        <v>224</v>
      </c>
      <c r="D106" s="8" t="s">
        <v>216</v>
      </c>
      <c r="G106" s="8" t="b">
        <v>0</v>
      </c>
      <c r="L106" s="7" t="s">
        <v>1481</v>
      </c>
    </row>
    <row r="107" spans="1:12" ht="15.75" customHeight="1">
      <c r="A107" s="8">
        <v>1116100005</v>
      </c>
      <c r="B107" s="8">
        <v>1116100005</v>
      </c>
      <c r="C107" s="8" t="s">
        <v>225</v>
      </c>
      <c r="D107" s="8" t="s">
        <v>216</v>
      </c>
      <c r="G107" s="8" t="b">
        <v>0</v>
      </c>
      <c r="L107" s="7" t="s">
        <v>1481</v>
      </c>
    </row>
    <row r="108" spans="1:12" ht="15.75" customHeight="1">
      <c r="A108" s="8">
        <v>1116100006</v>
      </c>
      <c r="B108" s="8">
        <v>1116100006</v>
      </c>
      <c r="C108" s="8" t="s">
        <v>226</v>
      </c>
      <c r="D108" s="8" t="s">
        <v>216</v>
      </c>
      <c r="G108" s="8" t="b">
        <v>0</v>
      </c>
      <c r="L108" s="7" t="s">
        <v>1481</v>
      </c>
    </row>
    <row r="109" spans="1:12" ht="15.75" customHeight="1">
      <c r="A109" s="8">
        <v>1116100007</v>
      </c>
      <c r="B109" s="8">
        <v>1116100007</v>
      </c>
      <c r="C109" s="8" t="s">
        <v>227</v>
      </c>
      <c r="D109" s="8" t="s">
        <v>216</v>
      </c>
      <c r="G109" s="8" t="b">
        <v>0</v>
      </c>
      <c r="L109" s="7" t="s">
        <v>1481</v>
      </c>
    </row>
    <row r="110" spans="1:12" ht="15.75" customHeight="1">
      <c r="A110" s="8">
        <v>1116100008</v>
      </c>
      <c r="B110" s="8">
        <v>1116100008</v>
      </c>
      <c r="C110" s="8" t="s">
        <v>228</v>
      </c>
      <c r="D110" s="8" t="s">
        <v>216</v>
      </c>
      <c r="G110" s="8" t="b">
        <v>0</v>
      </c>
      <c r="L110" s="7" t="s">
        <v>1481</v>
      </c>
    </row>
    <row r="111" spans="1:12" ht="15.75" customHeight="1">
      <c r="A111" s="8">
        <v>1116100009</v>
      </c>
      <c r="B111" s="8">
        <v>1116100009</v>
      </c>
      <c r="C111" s="8" t="s">
        <v>229</v>
      </c>
      <c r="D111" s="8" t="s">
        <v>216</v>
      </c>
      <c r="G111" s="8" t="b">
        <v>1</v>
      </c>
      <c r="L111" s="7" t="s">
        <v>1481</v>
      </c>
    </row>
    <row r="112" spans="1:12" ht="15.75" customHeight="1">
      <c r="A112" s="8">
        <v>1116100010</v>
      </c>
      <c r="B112" s="8">
        <v>1116100010</v>
      </c>
      <c r="C112" s="8" t="s">
        <v>230</v>
      </c>
      <c r="D112" s="8" t="s">
        <v>216</v>
      </c>
      <c r="G112" s="8" t="b">
        <v>0</v>
      </c>
      <c r="L112" s="7" t="s">
        <v>1481</v>
      </c>
    </row>
    <row r="113" spans="1:12" ht="15.75" customHeight="1">
      <c r="A113" s="8">
        <v>1116200001</v>
      </c>
      <c r="B113" s="8">
        <v>1116200001</v>
      </c>
      <c r="C113" s="8" t="s">
        <v>231</v>
      </c>
      <c r="D113" s="8" t="s">
        <v>216</v>
      </c>
      <c r="G113" s="8" t="b">
        <v>0</v>
      </c>
      <c r="L113" s="7" t="s">
        <v>1481</v>
      </c>
    </row>
    <row r="114" spans="1:12" ht="15.75" customHeight="1">
      <c r="A114" s="8">
        <v>1117100001</v>
      </c>
      <c r="B114" s="8">
        <v>1117100001</v>
      </c>
      <c r="C114" s="8" t="s">
        <v>232</v>
      </c>
      <c r="D114" s="8" t="s">
        <v>233</v>
      </c>
      <c r="G114" s="8" t="b">
        <v>0</v>
      </c>
      <c r="L114" s="7" t="s">
        <v>1481</v>
      </c>
    </row>
    <row r="115" spans="1:12" ht="15.75" customHeight="1">
      <c r="A115" s="8">
        <v>1117100002</v>
      </c>
      <c r="B115" s="8">
        <v>1117100002</v>
      </c>
      <c r="C115" s="8" t="s">
        <v>234</v>
      </c>
      <c r="D115" s="8" t="s">
        <v>233</v>
      </c>
      <c r="G115" s="8" t="b">
        <v>0</v>
      </c>
      <c r="L115" s="7" t="s">
        <v>1481</v>
      </c>
    </row>
    <row r="116" spans="1:12" ht="15.75" customHeight="1">
      <c r="A116" s="8">
        <v>1117100003</v>
      </c>
      <c r="B116" s="8">
        <v>1117100003</v>
      </c>
      <c r="C116" s="8" t="s">
        <v>235</v>
      </c>
      <c r="D116" s="8" t="s">
        <v>233</v>
      </c>
      <c r="G116" s="8" t="b">
        <v>0</v>
      </c>
      <c r="L116" s="7" t="s">
        <v>1481</v>
      </c>
    </row>
    <row r="117" spans="1:12" ht="15.75" customHeight="1">
      <c r="A117" s="8">
        <v>1117100004</v>
      </c>
      <c r="B117" s="8">
        <v>1117100004</v>
      </c>
      <c r="C117" s="8" t="s">
        <v>236</v>
      </c>
      <c r="D117" s="8" t="s">
        <v>233</v>
      </c>
      <c r="G117" s="8" t="b">
        <v>0</v>
      </c>
      <c r="L117" s="7" t="s">
        <v>1481</v>
      </c>
    </row>
    <row r="118" spans="1:12" ht="15.75" customHeight="1">
      <c r="A118" s="8">
        <v>1117200001</v>
      </c>
      <c r="B118" s="8">
        <v>1117200001</v>
      </c>
      <c r="C118" s="8" t="s">
        <v>237</v>
      </c>
      <c r="D118" s="8" t="s">
        <v>233</v>
      </c>
      <c r="G118" s="8" t="b">
        <v>0</v>
      </c>
      <c r="L118" s="7" t="s">
        <v>1481</v>
      </c>
    </row>
    <row r="119" spans="1:12" ht="15.75" customHeight="1">
      <c r="A119" s="8">
        <v>1117200002</v>
      </c>
      <c r="B119" s="8">
        <v>1117200002</v>
      </c>
      <c r="C119" s="8" t="s">
        <v>238</v>
      </c>
      <c r="D119" s="8" t="s">
        <v>233</v>
      </c>
      <c r="G119" s="8" t="b">
        <v>0</v>
      </c>
      <c r="L119" s="7" t="s">
        <v>1481</v>
      </c>
    </row>
    <row r="120" spans="1:12" ht="15.75" customHeight="1">
      <c r="A120" s="8">
        <v>1117300001</v>
      </c>
      <c r="B120" s="8">
        <v>1117300001</v>
      </c>
      <c r="C120" s="8" t="s">
        <v>239</v>
      </c>
      <c r="D120" s="8" t="s">
        <v>233</v>
      </c>
      <c r="G120" s="8" t="b">
        <v>0</v>
      </c>
      <c r="L120" s="7" t="s">
        <v>1481</v>
      </c>
    </row>
    <row r="121" spans="1:12" ht="15.75" customHeight="1">
      <c r="A121" s="8">
        <v>1117400001</v>
      </c>
      <c r="B121" s="8">
        <v>1117400001</v>
      </c>
      <c r="C121" s="8" t="s">
        <v>240</v>
      </c>
      <c r="D121" s="8" t="s">
        <v>233</v>
      </c>
      <c r="G121" s="8" t="b">
        <v>0</v>
      </c>
      <c r="L121" s="7" t="s">
        <v>1481</v>
      </c>
    </row>
    <row r="122" spans="1:12" ht="15.75" customHeight="1">
      <c r="A122" s="8">
        <v>1118000001</v>
      </c>
      <c r="B122" s="8">
        <v>1118000001</v>
      </c>
      <c r="C122" s="8" t="s">
        <v>241</v>
      </c>
      <c r="D122" s="8" t="s">
        <v>233</v>
      </c>
      <c r="G122" s="8" t="b">
        <v>0</v>
      </c>
      <c r="L122" s="7" t="s">
        <v>1481</v>
      </c>
    </row>
    <row r="123" spans="1:12" ht="15.75" customHeight="1">
      <c r="A123" s="8">
        <v>1201000001</v>
      </c>
      <c r="B123" s="8">
        <v>1201000001</v>
      </c>
      <c r="C123" s="8" t="s">
        <v>242</v>
      </c>
      <c r="D123" s="8" t="s">
        <v>243</v>
      </c>
      <c r="G123" s="8" t="b">
        <v>0</v>
      </c>
      <c r="L123" s="7" t="s">
        <v>1481</v>
      </c>
    </row>
    <row r="124" spans="1:12" ht="15.75" customHeight="1">
      <c r="A124" s="8">
        <v>1201000002</v>
      </c>
      <c r="B124" s="8">
        <v>1201000002</v>
      </c>
      <c r="C124" s="8" t="s">
        <v>244</v>
      </c>
      <c r="D124" s="8" t="s">
        <v>243</v>
      </c>
      <c r="G124" s="8" t="b">
        <v>0</v>
      </c>
      <c r="L124" s="7" t="s">
        <v>1481</v>
      </c>
    </row>
    <row r="125" spans="1:12" ht="15.75" customHeight="1">
      <c r="A125" s="8">
        <v>1201000003</v>
      </c>
      <c r="B125" s="8">
        <v>1201000003</v>
      </c>
      <c r="C125" s="8" t="s">
        <v>245</v>
      </c>
      <c r="D125" s="8" t="s">
        <v>243</v>
      </c>
      <c r="G125" s="8" t="b">
        <v>0</v>
      </c>
      <c r="L125" s="7" t="s">
        <v>1481</v>
      </c>
    </row>
    <row r="126" spans="1:12" ht="15.75" customHeight="1">
      <c r="A126" s="8">
        <v>1201000004</v>
      </c>
      <c r="B126" s="8">
        <v>1201000004</v>
      </c>
      <c r="C126" s="8" t="s">
        <v>246</v>
      </c>
      <c r="D126" s="8" t="s">
        <v>243</v>
      </c>
      <c r="G126" s="8" t="b">
        <v>0</v>
      </c>
      <c r="L126" s="7" t="s">
        <v>1481</v>
      </c>
    </row>
    <row r="127" spans="1:12" ht="15.75" customHeight="1">
      <c r="A127" s="8">
        <v>1201000005</v>
      </c>
      <c r="B127" s="8">
        <v>1201000005</v>
      </c>
      <c r="C127" s="8" t="s">
        <v>247</v>
      </c>
      <c r="D127" s="8" t="s">
        <v>243</v>
      </c>
      <c r="G127" s="8" t="b">
        <v>0</v>
      </c>
      <c r="L127" s="7" t="s">
        <v>1481</v>
      </c>
    </row>
    <row r="128" spans="1:12" ht="15.75" customHeight="1">
      <c r="A128" s="8">
        <v>1201000006</v>
      </c>
      <c r="B128" s="8">
        <v>1201000006</v>
      </c>
      <c r="C128" s="8" t="s">
        <v>248</v>
      </c>
      <c r="D128" s="8" t="s">
        <v>243</v>
      </c>
      <c r="G128" s="8" t="b">
        <v>0</v>
      </c>
      <c r="L128" s="7" t="s">
        <v>1481</v>
      </c>
    </row>
    <row r="129" spans="1:12" ht="15.75" customHeight="1">
      <c r="A129" s="8">
        <v>1201000007</v>
      </c>
      <c r="B129" s="8">
        <v>1201000007</v>
      </c>
      <c r="C129" s="8" t="s">
        <v>249</v>
      </c>
      <c r="D129" s="8" t="s">
        <v>243</v>
      </c>
      <c r="G129" s="8" t="b">
        <v>0</v>
      </c>
      <c r="L129" s="7" t="s">
        <v>1481</v>
      </c>
    </row>
    <row r="130" spans="1:12" ht="15.75" customHeight="1">
      <c r="A130" s="8">
        <v>1201000008</v>
      </c>
      <c r="B130" s="8">
        <v>1201000008</v>
      </c>
      <c r="C130" s="8" t="s">
        <v>250</v>
      </c>
      <c r="D130" s="8" t="s">
        <v>243</v>
      </c>
      <c r="G130" s="8" t="b">
        <v>0</v>
      </c>
      <c r="L130" s="7" t="s">
        <v>1481</v>
      </c>
    </row>
    <row r="131" spans="1:12" ht="15.75" customHeight="1">
      <c r="A131" s="8">
        <v>1201000009</v>
      </c>
      <c r="B131" s="8">
        <v>1201000009</v>
      </c>
      <c r="C131" s="8" t="s">
        <v>251</v>
      </c>
      <c r="D131" s="8" t="s">
        <v>243</v>
      </c>
      <c r="G131" s="8" t="b">
        <v>0</v>
      </c>
      <c r="L131" s="7" t="s">
        <v>1481</v>
      </c>
    </row>
    <row r="132" spans="1:12" ht="15.75" customHeight="1">
      <c r="A132" s="8">
        <v>1201000010</v>
      </c>
      <c r="B132" s="8">
        <v>1201000010</v>
      </c>
      <c r="C132" s="8" t="s">
        <v>252</v>
      </c>
      <c r="D132" s="8" t="s">
        <v>243</v>
      </c>
      <c r="G132" s="8" t="b">
        <v>0</v>
      </c>
      <c r="L132" s="7" t="s">
        <v>1481</v>
      </c>
    </row>
    <row r="133" spans="1:12" ht="15.75" customHeight="1">
      <c r="A133" s="8">
        <v>1202000000</v>
      </c>
      <c r="B133" s="8">
        <v>1202000000</v>
      </c>
      <c r="C133" s="8" t="s">
        <v>253</v>
      </c>
      <c r="D133" s="8" t="s">
        <v>243</v>
      </c>
      <c r="G133" s="8" t="b">
        <v>0</v>
      </c>
      <c r="L133" s="7" t="s">
        <v>1481</v>
      </c>
    </row>
    <row r="134" spans="1:12" ht="15.75" customHeight="1">
      <c r="A134" s="8">
        <v>1203001000</v>
      </c>
      <c r="B134" s="8">
        <v>1203001000</v>
      </c>
      <c r="C134" s="8" t="s">
        <v>254</v>
      </c>
      <c r="D134" s="8" t="s">
        <v>243</v>
      </c>
      <c r="G134" s="8" t="b">
        <v>0</v>
      </c>
      <c r="L134" s="7" t="s">
        <v>1481</v>
      </c>
    </row>
    <row r="135" spans="1:12" ht="15.75" customHeight="1">
      <c r="A135" s="8">
        <v>1203002000</v>
      </c>
      <c r="B135" s="8">
        <v>1203002000</v>
      </c>
      <c r="C135" s="8" t="s">
        <v>255</v>
      </c>
      <c r="D135" s="8" t="s">
        <v>243</v>
      </c>
      <c r="G135" s="8" t="b">
        <v>0</v>
      </c>
      <c r="L135" s="7" t="s">
        <v>1481</v>
      </c>
    </row>
    <row r="136" spans="1:12" ht="15.75" customHeight="1">
      <c r="A136" s="8">
        <v>1203009000</v>
      </c>
      <c r="B136" s="8">
        <v>1203009000</v>
      </c>
      <c r="C136" s="8" t="s">
        <v>256</v>
      </c>
      <c r="D136" s="8" t="s">
        <v>243</v>
      </c>
      <c r="G136" s="8" t="b">
        <v>0</v>
      </c>
      <c r="L136" s="7" t="s">
        <v>1481</v>
      </c>
    </row>
    <row r="137" spans="1:12" ht="15.75" customHeight="1">
      <c r="A137" s="8">
        <v>1205101000</v>
      </c>
      <c r="B137" s="8">
        <v>1205101000</v>
      </c>
      <c r="C137" s="8" t="s">
        <v>257</v>
      </c>
      <c r="D137" s="8" t="s">
        <v>258</v>
      </c>
      <c r="G137" s="8" t="b">
        <v>1</v>
      </c>
      <c r="L137" s="7" t="s">
        <v>1481</v>
      </c>
    </row>
    <row r="138" spans="1:12" ht="15.75" customHeight="1">
      <c r="A138" s="8">
        <v>1205102000</v>
      </c>
      <c r="B138" s="8">
        <v>1205102000</v>
      </c>
      <c r="C138" s="8" t="s">
        <v>259</v>
      </c>
      <c r="D138" s="8" t="s">
        <v>258</v>
      </c>
      <c r="G138" s="8" t="b">
        <v>1</v>
      </c>
      <c r="L138" s="7" t="s">
        <v>1481</v>
      </c>
    </row>
    <row r="139" spans="1:12" ht="15.75" customHeight="1">
      <c r="A139" s="8">
        <v>1205103000</v>
      </c>
      <c r="B139" s="8">
        <v>1205103000</v>
      </c>
      <c r="C139" s="8" t="s">
        <v>260</v>
      </c>
      <c r="D139" s="8" t="s">
        <v>258</v>
      </c>
      <c r="G139" s="8" t="b">
        <v>1</v>
      </c>
      <c r="L139" s="7" t="s">
        <v>1481</v>
      </c>
    </row>
    <row r="140" spans="1:12" ht="15.75" customHeight="1">
      <c r="A140" s="8">
        <v>1205104000</v>
      </c>
      <c r="B140" s="8">
        <v>1205104000</v>
      </c>
      <c r="C140" s="8" t="s">
        <v>261</v>
      </c>
      <c r="D140" s="8" t="s">
        <v>258</v>
      </c>
      <c r="G140" s="8" t="b">
        <v>1</v>
      </c>
      <c r="L140" s="7" t="s">
        <v>1481</v>
      </c>
    </row>
    <row r="141" spans="1:12" ht="15.75" customHeight="1">
      <c r="A141" s="8">
        <v>1205105000</v>
      </c>
      <c r="B141" s="8">
        <v>1205105000</v>
      </c>
      <c r="C141" s="8" t="s">
        <v>262</v>
      </c>
      <c r="D141" s="8" t="s">
        <v>258</v>
      </c>
      <c r="G141" s="8" t="b">
        <v>1</v>
      </c>
      <c r="L141" s="7" t="s">
        <v>1481</v>
      </c>
    </row>
    <row r="142" spans="1:12" ht="15.75" customHeight="1">
      <c r="A142" s="8">
        <v>1205106000</v>
      </c>
      <c r="B142" s="8">
        <v>1205106000</v>
      </c>
      <c r="C142" s="8" t="s">
        <v>263</v>
      </c>
      <c r="D142" s="8" t="s">
        <v>258</v>
      </c>
      <c r="G142" s="8" t="b">
        <v>1</v>
      </c>
      <c r="L142" s="7" t="s">
        <v>1481</v>
      </c>
    </row>
    <row r="143" spans="1:12" ht="15.75" customHeight="1">
      <c r="A143" s="8">
        <v>1205201000</v>
      </c>
      <c r="B143" s="8">
        <v>1205201000</v>
      </c>
      <c r="C143" s="8" t="s">
        <v>264</v>
      </c>
      <c r="D143" s="8" t="s">
        <v>258</v>
      </c>
      <c r="G143" s="8" t="b">
        <v>1</v>
      </c>
      <c r="L143" s="7" t="s">
        <v>1481</v>
      </c>
    </row>
    <row r="144" spans="1:12" ht="15.75" customHeight="1">
      <c r="A144" s="8">
        <v>1205202000</v>
      </c>
      <c r="B144" s="8">
        <v>1205202000</v>
      </c>
      <c r="C144" s="8" t="s">
        <v>265</v>
      </c>
      <c r="D144" s="8" t="s">
        <v>258</v>
      </c>
      <c r="G144" s="8" t="b">
        <v>1</v>
      </c>
      <c r="L144" s="7" t="s">
        <v>1481</v>
      </c>
    </row>
    <row r="145" spans="1:12" ht="15.75" customHeight="1">
      <c r="A145" s="8">
        <v>1205203000</v>
      </c>
      <c r="B145" s="8">
        <v>1205203000</v>
      </c>
      <c r="C145" s="8" t="s">
        <v>266</v>
      </c>
      <c r="D145" s="8" t="s">
        <v>258</v>
      </c>
      <c r="G145" s="8" t="b">
        <v>1</v>
      </c>
      <c r="L145" s="7" t="s">
        <v>1481</v>
      </c>
    </row>
    <row r="146" spans="1:12" ht="15.75" customHeight="1">
      <c r="A146" s="8">
        <v>1205204000</v>
      </c>
      <c r="B146" s="8">
        <v>1205204000</v>
      </c>
      <c r="C146" s="8" t="s">
        <v>267</v>
      </c>
      <c r="D146" s="8" t="s">
        <v>258</v>
      </c>
      <c r="G146" s="8" t="b">
        <v>1</v>
      </c>
      <c r="L146" s="7" t="s">
        <v>1481</v>
      </c>
    </row>
    <row r="147" spans="1:12" ht="15.75" customHeight="1">
      <c r="A147" s="8">
        <v>1205205000</v>
      </c>
      <c r="B147" s="8">
        <v>1205205000</v>
      </c>
      <c r="C147" s="8" t="s">
        <v>268</v>
      </c>
      <c r="D147" s="8" t="s">
        <v>258</v>
      </c>
      <c r="G147" s="8" t="b">
        <v>1</v>
      </c>
      <c r="L147" s="7" t="s">
        <v>1481</v>
      </c>
    </row>
    <row r="148" spans="1:12" ht="15.75" customHeight="1">
      <c r="A148" s="8">
        <v>1205601000</v>
      </c>
      <c r="B148" s="8">
        <v>1205601000</v>
      </c>
      <c r="C148" s="8" t="s">
        <v>269</v>
      </c>
      <c r="D148" s="8" t="s">
        <v>258</v>
      </c>
      <c r="G148" s="8" t="b">
        <v>1</v>
      </c>
      <c r="L148" s="7" t="s">
        <v>1481</v>
      </c>
    </row>
    <row r="149" spans="1:12" ht="15.75" customHeight="1">
      <c r="A149" s="8">
        <v>1205602000</v>
      </c>
      <c r="B149" s="8">
        <v>1205602000</v>
      </c>
      <c r="C149" s="8" t="s">
        <v>270</v>
      </c>
      <c r="D149" s="8" t="s">
        <v>258</v>
      </c>
      <c r="G149" s="8" t="b">
        <v>1</v>
      </c>
      <c r="L149" s="7" t="s">
        <v>1481</v>
      </c>
    </row>
    <row r="150" spans="1:12" ht="15.75" customHeight="1">
      <c r="A150" s="8">
        <v>1205800001</v>
      </c>
      <c r="B150" s="8">
        <v>1205800001</v>
      </c>
      <c r="C150" s="8" t="s">
        <v>271</v>
      </c>
      <c r="D150" s="8" t="s">
        <v>258</v>
      </c>
      <c r="G150" s="8" t="b">
        <v>1</v>
      </c>
      <c r="L150" s="7" t="s">
        <v>1481</v>
      </c>
    </row>
    <row r="151" spans="1:12" ht="15.75" customHeight="1">
      <c r="A151" s="8">
        <v>1205800002</v>
      </c>
      <c r="B151" s="8">
        <v>1205800002</v>
      </c>
      <c r="C151" s="8" t="s">
        <v>272</v>
      </c>
      <c r="D151" s="8" t="s">
        <v>258</v>
      </c>
      <c r="G151" s="8" t="b">
        <v>1</v>
      </c>
      <c r="L151" s="7" t="s">
        <v>1481</v>
      </c>
    </row>
    <row r="152" spans="1:12" ht="15.75" customHeight="1">
      <c r="A152" s="8">
        <v>1205800003</v>
      </c>
      <c r="B152" s="8">
        <v>1205800003</v>
      </c>
      <c r="C152" s="8" t="s">
        <v>273</v>
      </c>
      <c r="D152" s="8" t="s">
        <v>258</v>
      </c>
      <c r="G152" s="8" t="b">
        <v>1</v>
      </c>
      <c r="L152" s="7" t="s">
        <v>1481</v>
      </c>
    </row>
    <row r="153" spans="1:12" ht="15.75" customHeight="1">
      <c r="A153" s="8">
        <v>1205800004</v>
      </c>
      <c r="B153" s="8">
        <v>1205800004</v>
      </c>
      <c r="C153" s="8" t="s">
        <v>274</v>
      </c>
      <c r="D153" s="8" t="s">
        <v>258</v>
      </c>
      <c r="G153" s="8" t="b">
        <v>1</v>
      </c>
      <c r="L153" s="7" t="s">
        <v>1481</v>
      </c>
    </row>
    <row r="154" spans="1:12" ht="15.75" customHeight="1">
      <c r="A154" s="8">
        <v>1205800005</v>
      </c>
      <c r="B154" s="8">
        <v>1205800005</v>
      </c>
      <c r="C154" s="8" t="s">
        <v>275</v>
      </c>
      <c r="D154" s="8" t="s">
        <v>258</v>
      </c>
      <c r="G154" s="8" t="b">
        <v>1</v>
      </c>
      <c r="L154" s="7" t="s">
        <v>1481</v>
      </c>
    </row>
    <row r="155" spans="1:12" ht="15.75" customHeight="1">
      <c r="A155" s="8">
        <v>1205800006</v>
      </c>
      <c r="B155" s="8">
        <v>1205800006</v>
      </c>
      <c r="C155" s="8" t="s">
        <v>276</v>
      </c>
      <c r="D155" s="8" t="s">
        <v>258</v>
      </c>
      <c r="G155" s="8" t="b">
        <v>1</v>
      </c>
      <c r="L155" s="7" t="s">
        <v>1481</v>
      </c>
    </row>
    <row r="156" spans="1:12" ht="15.75" customHeight="1">
      <c r="A156" s="8">
        <v>1205800009</v>
      </c>
      <c r="B156" s="8">
        <v>1205800009</v>
      </c>
      <c r="C156" s="8" t="s">
        <v>277</v>
      </c>
      <c r="D156" s="8" t="s">
        <v>258</v>
      </c>
      <c r="G156" s="8" t="b">
        <v>1</v>
      </c>
      <c r="L156" s="7" t="s">
        <v>1481</v>
      </c>
    </row>
    <row r="157" spans="1:12" ht="15.75" customHeight="1">
      <c r="A157" s="8">
        <v>1205800010</v>
      </c>
      <c r="B157" s="8">
        <v>1205800010</v>
      </c>
      <c r="C157" s="8" t="s">
        <v>278</v>
      </c>
      <c r="D157" s="8" t="s">
        <v>258</v>
      </c>
      <c r="G157" s="8" t="b">
        <v>1</v>
      </c>
      <c r="L157" s="7" t="s">
        <v>1481</v>
      </c>
    </row>
    <row r="158" spans="1:12" ht="15.75" customHeight="1">
      <c r="A158" s="8">
        <v>1205900000</v>
      </c>
      <c r="B158" s="8">
        <v>1205900000</v>
      </c>
      <c r="C158" s="8" t="s">
        <v>279</v>
      </c>
      <c r="D158" s="8" t="s">
        <v>258</v>
      </c>
      <c r="G158" s="8" t="b">
        <v>1</v>
      </c>
      <c r="L158" s="7" t="s">
        <v>1481</v>
      </c>
    </row>
    <row r="159" spans="1:12" ht="15.75" customHeight="1">
      <c r="A159" s="8">
        <v>1206102000</v>
      </c>
      <c r="B159" s="8">
        <v>1206102000</v>
      </c>
      <c r="C159" s="8" t="s">
        <v>280</v>
      </c>
      <c r="D159" s="8" t="s">
        <v>258</v>
      </c>
      <c r="G159" s="8" t="b">
        <v>1</v>
      </c>
      <c r="L159" s="7" t="s">
        <v>1481</v>
      </c>
    </row>
    <row r="160" spans="1:12" ht="15.75" customHeight="1">
      <c r="A160" s="8">
        <v>1206201000</v>
      </c>
      <c r="B160" s="8">
        <v>1206201000</v>
      </c>
      <c r="C160" s="8" t="s">
        <v>281</v>
      </c>
      <c r="D160" s="8" t="s">
        <v>258</v>
      </c>
      <c r="G160" s="8" t="b">
        <v>1</v>
      </c>
      <c r="L160" s="7" t="s">
        <v>1481</v>
      </c>
    </row>
    <row r="161" spans="1:12" ht="15.75" customHeight="1">
      <c r="A161" s="8">
        <v>1207200000</v>
      </c>
      <c r="B161" s="8">
        <v>1207200000</v>
      </c>
      <c r="C161" s="8" t="s">
        <v>282</v>
      </c>
      <c r="D161" s="8" t="s">
        <v>258</v>
      </c>
      <c r="G161" s="8" t="b">
        <v>1</v>
      </c>
      <c r="L161" s="7" t="s">
        <v>1481</v>
      </c>
    </row>
    <row r="162" spans="1:12" ht="15.75" customHeight="1">
      <c r="A162" s="8">
        <v>1207300000</v>
      </c>
      <c r="B162" s="8">
        <v>1207300000</v>
      </c>
      <c r="C162" s="8" t="s">
        <v>283</v>
      </c>
      <c r="D162" s="8" t="s">
        <v>258</v>
      </c>
      <c r="G162" s="8" t="b">
        <v>1</v>
      </c>
      <c r="L162" s="7" t="s">
        <v>1481</v>
      </c>
    </row>
    <row r="163" spans="1:12" ht="15.75" customHeight="1">
      <c r="A163" s="8">
        <v>1207900000</v>
      </c>
      <c r="B163" s="8">
        <v>1207900000</v>
      </c>
      <c r="C163" s="8" t="s">
        <v>284</v>
      </c>
      <c r="D163" s="8" t="s">
        <v>258</v>
      </c>
      <c r="G163" s="8" t="b">
        <v>1</v>
      </c>
      <c r="L163" s="7" t="s">
        <v>1481</v>
      </c>
    </row>
    <row r="164" spans="1:12" ht="15.75" customHeight="1">
      <c r="A164" s="8">
        <v>1207900009</v>
      </c>
      <c r="B164" s="8">
        <v>1207900009</v>
      </c>
      <c r="C164" s="8" t="s">
        <v>285</v>
      </c>
      <c r="D164" s="8" t="s">
        <v>258</v>
      </c>
      <c r="G164" s="8" t="b">
        <v>1</v>
      </c>
      <c r="L164" s="7" t="s">
        <v>1481</v>
      </c>
    </row>
    <row r="165" spans="1:12" ht="15.75" customHeight="1">
      <c r="A165" s="8">
        <v>1208100000</v>
      </c>
      <c r="B165" s="8">
        <v>1208100000</v>
      </c>
      <c r="C165" s="8" t="s">
        <v>286</v>
      </c>
      <c r="D165" s="8" t="s">
        <v>258</v>
      </c>
      <c r="G165" s="8" t="b">
        <v>1</v>
      </c>
      <c r="L165" s="7" t="s">
        <v>1481</v>
      </c>
    </row>
    <row r="166" spans="1:12" ht="15.75" customHeight="1">
      <c r="A166" s="8">
        <v>1208600000</v>
      </c>
      <c r="B166" s="8">
        <v>1208600000</v>
      </c>
      <c r="C166" s="8" t="s">
        <v>287</v>
      </c>
      <c r="D166" s="8" t="s">
        <v>258</v>
      </c>
      <c r="G166" s="8" t="b">
        <v>1</v>
      </c>
      <c r="L166" s="7" t="s">
        <v>1481</v>
      </c>
    </row>
    <row r="167" spans="1:12" ht="15.75" customHeight="1">
      <c r="A167" s="8">
        <v>1208900000</v>
      </c>
      <c r="B167" s="8">
        <v>1208900000</v>
      </c>
      <c r="C167" s="8" t="s">
        <v>288</v>
      </c>
      <c r="D167" s="8" t="s">
        <v>258</v>
      </c>
      <c r="G167" s="8" t="b">
        <v>1</v>
      </c>
      <c r="L167" s="7" t="s">
        <v>1481</v>
      </c>
    </row>
    <row r="168" spans="1:12" ht="15.75" customHeight="1">
      <c r="A168" s="8">
        <v>1208900099</v>
      </c>
      <c r="B168" s="8">
        <v>1208900099</v>
      </c>
      <c r="C168" s="8" t="s">
        <v>289</v>
      </c>
      <c r="D168" s="8" t="s">
        <v>258</v>
      </c>
      <c r="G168" s="8" t="b">
        <v>1</v>
      </c>
      <c r="L168" s="7" t="s">
        <v>1481</v>
      </c>
    </row>
    <row r="169" spans="1:12" ht="15.75" customHeight="1">
      <c r="A169" s="8">
        <v>1210000001</v>
      </c>
      <c r="B169" s="8">
        <v>1210000001</v>
      </c>
      <c r="C169" s="8" t="s">
        <v>290</v>
      </c>
      <c r="D169" s="8" t="s">
        <v>243</v>
      </c>
      <c r="G169" s="8" t="b">
        <v>0</v>
      </c>
      <c r="L169" s="7" t="s">
        <v>1481</v>
      </c>
    </row>
    <row r="170" spans="1:12" ht="15.75" customHeight="1">
      <c r="A170" s="8">
        <v>1211100001</v>
      </c>
      <c r="B170" s="8">
        <v>1211100001</v>
      </c>
      <c r="C170" s="8" t="s">
        <v>291</v>
      </c>
      <c r="D170" s="8" t="s">
        <v>243</v>
      </c>
      <c r="G170" s="8" t="b">
        <v>1</v>
      </c>
      <c r="L170" s="7" t="s">
        <v>1481</v>
      </c>
    </row>
    <row r="171" spans="1:12" ht="15.75" customHeight="1">
      <c r="A171" s="8">
        <v>1211100002</v>
      </c>
      <c r="B171" s="8">
        <v>1211100002</v>
      </c>
      <c r="C171" s="8" t="s">
        <v>292</v>
      </c>
      <c r="D171" s="8" t="s">
        <v>243</v>
      </c>
      <c r="G171" s="8" t="b">
        <v>1</v>
      </c>
      <c r="L171" s="7" t="s">
        <v>1481</v>
      </c>
    </row>
    <row r="172" spans="1:12" ht="15.75" customHeight="1">
      <c r="A172" s="8">
        <v>1211100003</v>
      </c>
      <c r="B172" s="8">
        <v>1211100003</v>
      </c>
      <c r="C172" s="8" t="s">
        <v>293</v>
      </c>
      <c r="D172" s="8" t="s">
        <v>243</v>
      </c>
      <c r="G172" s="8" t="b">
        <v>1</v>
      </c>
      <c r="L172" s="7" t="s">
        <v>1481</v>
      </c>
    </row>
    <row r="173" spans="1:12" ht="15.75" customHeight="1">
      <c r="A173" s="8">
        <v>1211100004</v>
      </c>
      <c r="B173" s="8">
        <v>1211100004</v>
      </c>
      <c r="C173" s="8" t="s">
        <v>294</v>
      </c>
      <c r="D173" s="8" t="s">
        <v>243</v>
      </c>
      <c r="G173" s="8" t="b">
        <v>1</v>
      </c>
      <c r="L173" s="7" t="s">
        <v>1481</v>
      </c>
    </row>
    <row r="174" spans="1:12" ht="15.75" customHeight="1">
      <c r="A174" s="8">
        <v>1211100005</v>
      </c>
      <c r="B174" s="8">
        <v>1211100005</v>
      </c>
      <c r="C174" s="8" t="s">
        <v>295</v>
      </c>
      <c r="D174" s="8" t="s">
        <v>243</v>
      </c>
      <c r="G174" s="8" t="b">
        <v>1</v>
      </c>
      <c r="L174" s="7" t="s">
        <v>1481</v>
      </c>
    </row>
    <row r="175" spans="1:12" ht="15.75" customHeight="1">
      <c r="A175" s="8">
        <v>1211100006</v>
      </c>
      <c r="B175" s="8">
        <v>1211100006</v>
      </c>
      <c r="C175" s="8" t="s">
        <v>296</v>
      </c>
      <c r="D175" s="8" t="s">
        <v>243</v>
      </c>
      <c r="G175" s="8" t="b">
        <v>1</v>
      </c>
      <c r="L175" s="7" t="s">
        <v>1481</v>
      </c>
    </row>
    <row r="176" spans="1:12" ht="15.75" customHeight="1">
      <c r="A176" s="8">
        <v>1211100007</v>
      </c>
      <c r="B176" s="8">
        <v>1211100007</v>
      </c>
      <c r="C176" s="8" t="s">
        <v>297</v>
      </c>
      <c r="D176" s="8" t="s">
        <v>243</v>
      </c>
      <c r="G176" s="8" t="b">
        <v>1</v>
      </c>
      <c r="L176" s="7" t="s">
        <v>1481</v>
      </c>
    </row>
    <row r="177" spans="1:12" ht="15.75" customHeight="1">
      <c r="A177" s="8">
        <v>1211100008</v>
      </c>
      <c r="B177" s="8">
        <v>1211100008</v>
      </c>
      <c r="C177" s="8" t="s">
        <v>298</v>
      </c>
      <c r="D177" s="8" t="s">
        <v>243</v>
      </c>
      <c r="G177" s="8" t="b">
        <v>1</v>
      </c>
      <c r="L177" s="7" t="s">
        <v>1481</v>
      </c>
    </row>
    <row r="178" spans="1:12" ht="15.75" customHeight="1">
      <c r="A178" s="8">
        <v>1211100009</v>
      </c>
      <c r="B178" s="8">
        <v>1211100009</v>
      </c>
      <c r="C178" s="8" t="s">
        <v>299</v>
      </c>
      <c r="D178" s="8" t="s">
        <v>243</v>
      </c>
      <c r="G178" s="8" t="b">
        <v>1</v>
      </c>
      <c r="L178" s="7" t="s">
        <v>1481</v>
      </c>
    </row>
    <row r="179" spans="1:12" ht="15.75" customHeight="1">
      <c r="A179" s="8">
        <v>1211100071</v>
      </c>
      <c r="B179" s="8">
        <v>1211100071</v>
      </c>
      <c r="C179" s="8" t="s">
        <v>300</v>
      </c>
      <c r="D179" s="8" t="s">
        <v>243</v>
      </c>
      <c r="G179" s="8" t="b">
        <v>0</v>
      </c>
      <c r="L179" s="7" t="s">
        <v>1481</v>
      </c>
    </row>
    <row r="180" spans="1:12" ht="15.75" customHeight="1">
      <c r="A180" s="8">
        <v>1211100072</v>
      </c>
      <c r="B180" s="8">
        <v>1211100072</v>
      </c>
      <c r="C180" s="8" t="s">
        <v>301</v>
      </c>
      <c r="D180" s="8" t="s">
        <v>243</v>
      </c>
      <c r="G180" s="8" t="b">
        <v>0</v>
      </c>
      <c r="L180" s="7" t="s">
        <v>1481</v>
      </c>
    </row>
    <row r="181" spans="1:12" ht="15.75" customHeight="1">
      <c r="A181" s="8">
        <v>1211100073</v>
      </c>
      <c r="B181" s="8">
        <v>1211100073</v>
      </c>
      <c r="C181" s="8" t="s">
        <v>302</v>
      </c>
      <c r="D181" s="8" t="s">
        <v>243</v>
      </c>
      <c r="G181" s="8" t="b">
        <v>0</v>
      </c>
      <c r="L181" s="7" t="s">
        <v>1481</v>
      </c>
    </row>
    <row r="182" spans="1:12" ht="15.75" customHeight="1">
      <c r="A182" s="8">
        <v>1211100074</v>
      </c>
      <c r="B182" s="8">
        <v>1211100074</v>
      </c>
      <c r="C182" s="8" t="s">
        <v>303</v>
      </c>
      <c r="D182" s="8" t="s">
        <v>243</v>
      </c>
      <c r="G182" s="8" t="b">
        <v>0</v>
      </c>
      <c r="L182" s="7" t="s">
        <v>1481</v>
      </c>
    </row>
    <row r="183" spans="1:12" ht="15.75" customHeight="1">
      <c r="A183" s="8">
        <v>1211100075</v>
      </c>
      <c r="B183" s="8">
        <v>1211100075</v>
      </c>
      <c r="C183" s="8" t="s">
        <v>304</v>
      </c>
      <c r="D183" s="8" t="s">
        <v>243</v>
      </c>
      <c r="G183" s="8" t="b">
        <v>0</v>
      </c>
      <c r="L183" s="7" t="s">
        <v>1481</v>
      </c>
    </row>
    <row r="184" spans="1:12" ht="15.75" customHeight="1">
      <c r="A184" s="8">
        <v>1211100076</v>
      </c>
      <c r="B184" s="8">
        <v>1211100076</v>
      </c>
      <c r="C184" s="8" t="s">
        <v>305</v>
      </c>
      <c r="D184" s="8" t="s">
        <v>243</v>
      </c>
      <c r="G184" s="8" t="b">
        <v>0</v>
      </c>
      <c r="L184" s="7" t="s">
        <v>1481</v>
      </c>
    </row>
    <row r="185" spans="1:12" ht="15.75" customHeight="1">
      <c r="A185" s="8">
        <v>1211100077</v>
      </c>
      <c r="B185" s="8">
        <v>1211100077</v>
      </c>
      <c r="C185" s="8" t="s">
        <v>306</v>
      </c>
      <c r="D185" s="8" t="s">
        <v>243</v>
      </c>
      <c r="G185" s="8" t="b">
        <v>0</v>
      </c>
      <c r="L185" s="7" t="s">
        <v>1481</v>
      </c>
    </row>
    <row r="186" spans="1:12" ht="15.75" customHeight="1">
      <c r="A186" s="8">
        <v>1211100078</v>
      </c>
      <c r="B186" s="8">
        <v>1211100078</v>
      </c>
      <c r="C186" s="8" t="s">
        <v>307</v>
      </c>
      <c r="D186" s="8" t="s">
        <v>243</v>
      </c>
      <c r="G186" s="8" t="b">
        <v>0</v>
      </c>
      <c r="L186" s="7" t="s">
        <v>1481</v>
      </c>
    </row>
    <row r="187" spans="1:12" ht="15.75" customHeight="1">
      <c r="A187" s="8">
        <v>1211100099</v>
      </c>
      <c r="B187" s="8">
        <v>1211100099</v>
      </c>
      <c r="C187" s="8" t="s">
        <v>308</v>
      </c>
      <c r="D187" s="8" t="s">
        <v>243</v>
      </c>
      <c r="G187" s="8" t="b">
        <v>0</v>
      </c>
      <c r="L187" s="7" t="s">
        <v>1481</v>
      </c>
    </row>
    <row r="188" spans="1:12" ht="15.75" customHeight="1">
      <c r="A188" s="8">
        <v>1212200003</v>
      </c>
      <c r="B188" s="8">
        <v>1212200003</v>
      </c>
      <c r="C188" s="8" t="s">
        <v>309</v>
      </c>
      <c r="D188" s="8" t="s">
        <v>243</v>
      </c>
      <c r="G188" s="8" t="b">
        <v>0</v>
      </c>
      <c r="L188" s="7" t="s">
        <v>1481</v>
      </c>
    </row>
    <row r="189" spans="1:12" ht="15.75" customHeight="1">
      <c r="A189" s="8">
        <v>1212200004</v>
      </c>
      <c r="B189" s="8">
        <v>1212200004</v>
      </c>
      <c r="C189" s="8" t="s">
        <v>310</v>
      </c>
      <c r="D189" s="8" t="s">
        <v>243</v>
      </c>
      <c r="G189" s="8" t="b">
        <v>0</v>
      </c>
      <c r="L189" s="7" t="s">
        <v>1481</v>
      </c>
    </row>
    <row r="190" spans="1:12" ht="15.75" customHeight="1">
      <c r="A190" s="8">
        <v>1212200009</v>
      </c>
      <c r="B190" s="8">
        <v>1212200009</v>
      </c>
      <c r="C190" s="8" t="s">
        <v>311</v>
      </c>
      <c r="D190" s="8" t="s">
        <v>243</v>
      </c>
      <c r="G190" s="8" t="b">
        <v>0</v>
      </c>
      <c r="L190" s="7" t="s">
        <v>1481</v>
      </c>
    </row>
    <row r="191" spans="1:12" ht="15.75" customHeight="1">
      <c r="A191" s="8">
        <v>2101101000</v>
      </c>
      <c r="B191" s="8">
        <v>2101101000</v>
      </c>
      <c r="C191" s="8" t="s">
        <v>312</v>
      </c>
      <c r="D191" s="8" t="s">
        <v>313</v>
      </c>
      <c r="G191" s="8" t="b">
        <v>0</v>
      </c>
      <c r="L191" s="7" t="s">
        <v>1481</v>
      </c>
    </row>
    <row r="192" spans="1:12" ht="15.75" customHeight="1">
      <c r="A192" s="8">
        <v>2101201000</v>
      </c>
      <c r="B192" s="8">
        <v>2101201000</v>
      </c>
      <c r="C192" s="8" t="s">
        <v>314</v>
      </c>
      <c r="D192" s="8" t="s">
        <v>313</v>
      </c>
      <c r="G192" s="8" t="b">
        <v>0</v>
      </c>
      <c r="L192" s="7" t="s">
        <v>1481</v>
      </c>
    </row>
    <row r="193" spans="1:12" ht="15.75" customHeight="1">
      <c r="A193" s="8">
        <v>2102100000</v>
      </c>
      <c r="B193" s="8">
        <v>2102100000</v>
      </c>
      <c r="C193" s="8" t="s">
        <v>315</v>
      </c>
      <c r="D193" s="8" t="s">
        <v>313</v>
      </c>
      <c r="G193" s="8" t="b">
        <v>0</v>
      </c>
      <c r="L193" s="7" t="s">
        <v>1481</v>
      </c>
    </row>
    <row r="194" spans="1:12" ht="15.75" customHeight="1">
      <c r="A194" s="8">
        <v>2102200000</v>
      </c>
      <c r="B194" s="8">
        <v>2102200000</v>
      </c>
      <c r="C194" s="8" t="s">
        <v>316</v>
      </c>
      <c r="D194" s="8" t="s">
        <v>313</v>
      </c>
      <c r="G194" s="8" t="b">
        <v>0</v>
      </c>
      <c r="L194" s="7" t="s">
        <v>1481</v>
      </c>
    </row>
    <row r="195" spans="1:12" ht="15.75" customHeight="1">
      <c r="A195" s="8">
        <v>2102300000</v>
      </c>
      <c r="B195" s="8">
        <v>2102300000</v>
      </c>
      <c r="C195" s="8" t="s">
        <v>317</v>
      </c>
      <c r="D195" s="8" t="s">
        <v>313</v>
      </c>
      <c r="G195" s="8" t="b">
        <v>0</v>
      </c>
      <c r="L195" s="7" t="s">
        <v>1481</v>
      </c>
    </row>
    <row r="196" spans="1:12" ht="15.75" customHeight="1">
      <c r="A196" s="8">
        <v>2102400000</v>
      </c>
      <c r="B196" s="8">
        <v>2102400000</v>
      </c>
      <c r="C196" s="8" t="s">
        <v>318</v>
      </c>
      <c r="D196" s="8" t="s">
        <v>313</v>
      </c>
      <c r="G196" s="8" t="b">
        <v>0</v>
      </c>
      <c r="L196" s="7" t="s">
        <v>1481</v>
      </c>
    </row>
    <row r="197" spans="1:12" ht="15.75" customHeight="1">
      <c r="A197" s="8">
        <v>2103100001</v>
      </c>
      <c r="B197" s="8">
        <v>2103100001</v>
      </c>
      <c r="C197" s="8" t="s">
        <v>319</v>
      </c>
      <c r="D197" s="8" t="s">
        <v>313</v>
      </c>
      <c r="G197" s="8" t="b">
        <v>1</v>
      </c>
      <c r="L197" s="7" t="s">
        <v>1481</v>
      </c>
    </row>
    <row r="198" spans="1:12" ht="15.75" customHeight="1">
      <c r="A198" s="8">
        <v>2103100002</v>
      </c>
      <c r="B198" s="8">
        <v>2103100002</v>
      </c>
      <c r="C198" s="8" t="s">
        <v>320</v>
      </c>
      <c r="D198" s="8" t="s">
        <v>313</v>
      </c>
      <c r="G198" s="8" t="b">
        <v>1</v>
      </c>
      <c r="L198" s="7" t="s">
        <v>1481</v>
      </c>
    </row>
    <row r="199" spans="1:12" ht="15.75" customHeight="1">
      <c r="A199" s="8">
        <v>2103100003</v>
      </c>
      <c r="B199" s="8">
        <v>2103100003</v>
      </c>
      <c r="C199" s="8" t="s">
        <v>321</v>
      </c>
      <c r="D199" s="8" t="s">
        <v>313</v>
      </c>
      <c r="G199" s="8" t="b">
        <v>1</v>
      </c>
      <c r="L199" s="7" t="s">
        <v>1481</v>
      </c>
    </row>
    <row r="200" spans="1:12" ht="15.75" customHeight="1">
      <c r="A200" s="8">
        <v>2103100097</v>
      </c>
      <c r="B200" s="8">
        <v>2103100097</v>
      </c>
      <c r="C200" s="8" t="s">
        <v>322</v>
      </c>
      <c r="D200" s="8" t="s">
        <v>313</v>
      </c>
      <c r="G200" s="8" t="b">
        <v>0</v>
      </c>
      <c r="L200" s="7" t="s">
        <v>1481</v>
      </c>
    </row>
    <row r="201" spans="1:12" ht="15.75" customHeight="1">
      <c r="A201" s="8">
        <v>2103100099</v>
      </c>
      <c r="B201" s="8">
        <v>2103100099</v>
      </c>
      <c r="C201" s="8" t="s">
        <v>323</v>
      </c>
      <c r="D201" s="8" t="s">
        <v>313</v>
      </c>
      <c r="G201" s="8" t="b">
        <v>0</v>
      </c>
      <c r="L201" s="7" t="s">
        <v>1481</v>
      </c>
    </row>
    <row r="202" spans="1:12" ht="15.75" customHeight="1">
      <c r="A202" s="8">
        <v>2103100999</v>
      </c>
      <c r="B202" s="8">
        <v>2103100999</v>
      </c>
      <c r="C202" s="8" t="s">
        <v>324</v>
      </c>
      <c r="D202" s="8" t="s">
        <v>313</v>
      </c>
      <c r="G202" s="8" t="b">
        <v>0</v>
      </c>
      <c r="L202" s="7" t="s">
        <v>1481</v>
      </c>
    </row>
    <row r="203" spans="1:12" ht="15.75" customHeight="1">
      <c r="A203" s="8">
        <v>2103109198</v>
      </c>
      <c r="B203" s="8">
        <v>2103109198</v>
      </c>
      <c r="C203" s="8" t="s">
        <v>325</v>
      </c>
      <c r="D203" s="8" t="s">
        <v>313</v>
      </c>
      <c r="G203" s="8" t="b">
        <v>1</v>
      </c>
      <c r="L203" s="7" t="s">
        <v>1481</v>
      </c>
    </row>
    <row r="204" spans="1:12" ht="15.75" customHeight="1">
      <c r="A204" s="8">
        <v>2103109199</v>
      </c>
      <c r="B204" s="8">
        <v>2103109199</v>
      </c>
      <c r="C204" s="8" t="s">
        <v>326</v>
      </c>
      <c r="D204" s="8" t="s">
        <v>313</v>
      </c>
      <c r="G204" s="8" t="b">
        <v>1</v>
      </c>
      <c r="L204" s="7" t="s">
        <v>1481</v>
      </c>
    </row>
    <row r="205" spans="1:12" ht="15.75" customHeight="1">
      <c r="A205" s="8">
        <v>2103109201</v>
      </c>
      <c r="B205" s="8">
        <v>2103109201</v>
      </c>
      <c r="C205" s="8" t="s">
        <v>327</v>
      </c>
      <c r="D205" s="8" t="s">
        <v>313</v>
      </c>
      <c r="G205" s="8" t="b">
        <v>1</v>
      </c>
      <c r="L205" s="7" t="s">
        <v>1481</v>
      </c>
    </row>
    <row r="206" spans="1:12" ht="15.75" customHeight="1">
      <c r="A206" s="8">
        <v>2103109202</v>
      </c>
      <c r="B206" s="8">
        <v>2103109202</v>
      </c>
      <c r="C206" s="8" t="s">
        <v>328</v>
      </c>
      <c r="D206" s="8" t="s">
        <v>313</v>
      </c>
      <c r="G206" s="8" t="b">
        <v>1</v>
      </c>
      <c r="L206" s="7" t="s">
        <v>1481</v>
      </c>
    </row>
    <row r="207" spans="1:12" ht="15.75" customHeight="1">
      <c r="A207" s="8">
        <v>2103109301</v>
      </c>
      <c r="B207" s="8">
        <v>2103109301</v>
      </c>
      <c r="C207" s="8" t="s">
        <v>329</v>
      </c>
      <c r="D207" s="8" t="s">
        <v>313</v>
      </c>
      <c r="G207" s="8" t="b">
        <v>1</v>
      </c>
      <c r="L207" s="7" t="s">
        <v>1481</v>
      </c>
    </row>
    <row r="208" spans="1:12" ht="15.75" customHeight="1">
      <c r="A208" s="8">
        <v>2103109302</v>
      </c>
      <c r="B208" s="8">
        <v>2103109302</v>
      </c>
      <c r="C208" s="8" t="s">
        <v>330</v>
      </c>
      <c r="D208" s="8" t="s">
        <v>313</v>
      </c>
      <c r="G208" s="8" t="b">
        <v>1</v>
      </c>
      <c r="L208" s="7" t="s">
        <v>1481</v>
      </c>
    </row>
    <row r="209" spans="1:12" ht="15.75" customHeight="1">
      <c r="A209" s="8">
        <v>2103109401</v>
      </c>
      <c r="B209" s="8">
        <v>2103109401</v>
      </c>
      <c r="C209" s="8" t="s">
        <v>331</v>
      </c>
      <c r="D209" s="8" t="s">
        <v>313</v>
      </c>
      <c r="G209" s="8" t="b">
        <v>1</v>
      </c>
      <c r="L209" s="7" t="s">
        <v>1481</v>
      </c>
    </row>
    <row r="210" spans="1:12" ht="15.75" customHeight="1">
      <c r="A210" s="8">
        <v>2103109402</v>
      </c>
      <c r="B210" s="8">
        <v>2103109402</v>
      </c>
      <c r="C210" s="8" t="s">
        <v>332</v>
      </c>
      <c r="D210" s="8" t="s">
        <v>313</v>
      </c>
      <c r="G210" s="8" t="b">
        <v>1</v>
      </c>
      <c r="L210" s="7" t="s">
        <v>1481</v>
      </c>
    </row>
    <row r="211" spans="1:12" ht="15.75" customHeight="1">
      <c r="A211" s="8">
        <v>2103109901</v>
      </c>
      <c r="B211" s="8">
        <v>2103109901</v>
      </c>
      <c r="C211" s="8" t="s">
        <v>333</v>
      </c>
      <c r="D211" s="8" t="s">
        <v>313</v>
      </c>
      <c r="G211" s="8" t="b">
        <v>1</v>
      </c>
      <c r="L211" s="7" t="s">
        <v>1481</v>
      </c>
    </row>
    <row r="212" spans="1:12" ht="15.75" customHeight="1">
      <c r="A212" s="8">
        <v>2103200001</v>
      </c>
      <c r="B212" s="8">
        <v>2103200001</v>
      </c>
      <c r="C212" s="8" t="s">
        <v>334</v>
      </c>
      <c r="D212" s="8" t="s">
        <v>313</v>
      </c>
      <c r="G212" s="8" t="b">
        <v>1</v>
      </c>
      <c r="L212" s="7" t="s">
        <v>1481</v>
      </c>
    </row>
    <row r="213" spans="1:12" ht="15.75" customHeight="1">
      <c r="A213" s="8">
        <v>2103200002</v>
      </c>
      <c r="B213" s="8">
        <v>2103200002</v>
      </c>
      <c r="C213" s="8" t="s">
        <v>335</v>
      </c>
      <c r="D213" s="8" t="s">
        <v>313</v>
      </c>
      <c r="G213" s="8" t="b">
        <v>1</v>
      </c>
      <c r="L213" s="7" t="s">
        <v>1481</v>
      </c>
    </row>
    <row r="214" spans="1:12" ht="15.75" customHeight="1">
      <c r="A214" s="8">
        <v>2103200003</v>
      </c>
      <c r="B214" s="8">
        <v>2103200003</v>
      </c>
      <c r="C214" s="8" t="s">
        <v>336</v>
      </c>
      <c r="D214" s="8" t="s">
        <v>313</v>
      </c>
      <c r="G214" s="8" t="b">
        <v>1</v>
      </c>
      <c r="L214" s="7" t="s">
        <v>1481</v>
      </c>
    </row>
    <row r="215" spans="1:12" ht="15.75" customHeight="1">
      <c r="A215" s="8">
        <v>2103200999</v>
      </c>
      <c r="B215" s="8">
        <v>2103200999</v>
      </c>
      <c r="C215" s="8" t="s">
        <v>337</v>
      </c>
      <c r="D215" s="8" t="s">
        <v>313</v>
      </c>
      <c r="G215" s="8" t="b">
        <v>0</v>
      </c>
      <c r="L215" s="7" t="s">
        <v>1481</v>
      </c>
    </row>
    <row r="216" spans="1:12" ht="15.75" customHeight="1">
      <c r="A216" s="8">
        <v>2103209000</v>
      </c>
      <c r="B216" s="8">
        <v>2103209000</v>
      </c>
      <c r="C216" s="8" t="s">
        <v>338</v>
      </c>
      <c r="D216" s="8" t="s">
        <v>313</v>
      </c>
      <c r="G216" s="8" t="b">
        <v>1</v>
      </c>
      <c r="L216" s="7" t="s">
        <v>1481</v>
      </c>
    </row>
    <row r="217" spans="1:12" ht="15.75" customHeight="1">
      <c r="A217" s="8">
        <v>2103300001</v>
      </c>
      <c r="B217" s="8">
        <v>2103300001</v>
      </c>
      <c r="C217" s="8" t="s">
        <v>339</v>
      </c>
      <c r="D217" s="8" t="s">
        <v>313</v>
      </c>
      <c r="G217" s="8" t="b">
        <v>1</v>
      </c>
      <c r="L217" s="7" t="s">
        <v>1481</v>
      </c>
    </row>
    <row r="218" spans="1:12" ht="15.75" customHeight="1">
      <c r="A218" s="8">
        <v>2103300002</v>
      </c>
      <c r="B218" s="8">
        <v>2103300002</v>
      </c>
      <c r="C218" s="8" t="s">
        <v>340</v>
      </c>
      <c r="D218" s="8" t="s">
        <v>313</v>
      </c>
      <c r="G218" s="8" t="b">
        <v>1</v>
      </c>
      <c r="L218" s="7" t="s">
        <v>1481</v>
      </c>
    </row>
    <row r="219" spans="1:12" ht="15.75" customHeight="1">
      <c r="A219" s="8">
        <v>2103300004</v>
      </c>
      <c r="B219" s="8">
        <v>2103300004</v>
      </c>
      <c r="C219" s="8" t="s">
        <v>341</v>
      </c>
      <c r="D219" s="8" t="s">
        <v>313</v>
      </c>
      <c r="G219" s="8" t="b">
        <v>1</v>
      </c>
      <c r="L219" s="7" t="s">
        <v>1481</v>
      </c>
    </row>
    <row r="220" spans="1:12" ht="15.75" customHeight="1">
      <c r="A220" s="8">
        <v>2103300005</v>
      </c>
      <c r="B220" s="8">
        <v>2103300005</v>
      </c>
      <c r="C220" s="8" t="s">
        <v>342</v>
      </c>
      <c r="D220" s="8" t="s">
        <v>313</v>
      </c>
      <c r="G220" s="8" t="b">
        <v>1</v>
      </c>
      <c r="L220" s="7" t="s">
        <v>1481</v>
      </c>
    </row>
    <row r="221" spans="1:12" ht="15.75" customHeight="1">
      <c r="A221" s="8">
        <v>2103300008</v>
      </c>
      <c r="B221" s="8">
        <v>2103300008</v>
      </c>
      <c r="C221" s="8" t="s">
        <v>343</v>
      </c>
      <c r="D221" s="8" t="s">
        <v>313</v>
      </c>
      <c r="G221" s="8" t="b">
        <v>1</v>
      </c>
      <c r="L221" s="7" t="s">
        <v>1481</v>
      </c>
    </row>
    <row r="222" spans="1:12" ht="15.75" customHeight="1">
      <c r="A222" s="8">
        <v>2103300009</v>
      </c>
      <c r="B222" s="8">
        <v>2103300009</v>
      </c>
      <c r="C222" s="8" t="s">
        <v>344</v>
      </c>
      <c r="D222" s="8" t="s">
        <v>313</v>
      </c>
      <c r="G222" s="8" t="b">
        <v>0</v>
      </c>
      <c r="L222" s="7" t="s">
        <v>1481</v>
      </c>
    </row>
    <row r="223" spans="1:12" ht="15.75" customHeight="1">
      <c r="A223" s="8">
        <v>2103300089</v>
      </c>
      <c r="B223" s="8">
        <v>2103300089</v>
      </c>
      <c r="C223" s="8" t="s">
        <v>345</v>
      </c>
      <c r="D223" s="8" t="s">
        <v>313</v>
      </c>
      <c r="G223" s="8" t="b">
        <v>1</v>
      </c>
      <c r="L223" s="7" t="s">
        <v>1481</v>
      </c>
    </row>
    <row r="224" spans="1:12" ht="15.75" customHeight="1">
      <c r="A224" s="8">
        <v>2103300090</v>
      </c>
      <c r="B224" s="8">
        <v>2103300090</v>
      </c>
      <c r="C224" s="8" t="s">
        <v>346</v>
      </c>
      <c r="D224" s="8" t="s">
        <v>313</v>
      </c>
      <c r="G224" s="8" t="b">
        <v>1</v>
      </c>
      <c r="L224" s="7" t="s">
        <v>1481</v>
      </c>
    </row>
    <row r="225" spans="1:12" ht="15.75" customHeight="1">
      <c r="A225" s="8">
        <v>2103300097</v>
      </c>
      <c r="B225" s="8">
        <v>2103300097</v>
      </c>
      <c r="C225" s="8" t="s">
        <v>347</v>
      </c>
      <c r="D225" s="8" t="s">
        <v>313</v>
      </c>
      <c r="G225" s="8" t="b">
        <v>0</v>
      </c>
      <c r="L225" s="7" t="s">
        <v>1481</v>
      </c>
    </row>
    <row r="226" spans="1:12" ht="15.75" customHeight="1">
      <c r="A226" s="8">
        <v>2103300098</v>
      </c>
      <c r="B226" s="8">
        <v>2103300098</v>
      </c>
      <c r="C226" s="8" t="s">
        <v>348</v>
      </c>
      <c r="D226" s="8" t="s">
        <v>313</v>
      </c>
      <c r="G226" s="8" t="b">
        <v>0</v>
      </c>
      <c r="L226" s="7" t="s">
        <v>1481</v>
      </c>
    </row>
    <row r="227" spans="1:12" ht="15.75" customHeight="1">
      <c r="A227" s="8">
        <v>2103300099</v>
      </c>
      <c r="B227" s="8">
        <v>2103300099</v>
      </c>
      <c r="C227" s="8" t="s">
        <v>349</v>
      </c>
      <c r="D227" s="8" t="s">
        <v>313</v>
      </c>
      <c r="G227" s="8" t="b">
        <v>0</v>
      </c>
      <c r="L227" s="7" t="s">
        <v>1481</v>
      </c>
    </row>
    <row r="228" spans="1:12" ht="15.75" customHeight="1">
      <c r="A228" s="8">
        <v>2103300999</v>
      </c>
      <c r="B228" s="8">
        <v>2103300999</v>
      </c>
      <c r="C228" s="8" t="s">
        <v>350</v>
      </c>
      <c r="D228" s="8" t="s">
        <v>313</v>
      </c>
      <c r="G228" s="8" t="b">
        <v>0</v>
      </c>
      <c r="L228" s="7" t="s">
        <v>1481</v>
      </c>
    </row>
    <row r="229" spans="1:12" ht="15.75" customHeight="1">
      <c r="A229" s="8">
        <v>2103400001</v>
      </c>
      <c r="B229" s="8">
        <v>2103400001</v>
      </c>
      <c r="C229" s="8" t="s">
        <v>351</v>
      </c>
      <c r="D229" s="8" t="s">
        <v>313</v>
      </c>
      <c r="G229" s="8" t="b">
        <v>1</v>
      </c>
      <c r="L229" s="7" t="s">
        <v>1481</v>
      </c>
    </row>
    <row r="230" spans="1:12" ht="15.75" customHeight="1">
      <c r="A230" s="8">
        <v>2103400002</v>
      </c>
      <c r="B230" s="8">
        <v>2103400002</v>
      </c>
      <c r="C230" s="8" t="s">
        <v>352</v>
      </c>
      <c r="D230" s="8" t="s">
        <v>313</v>
      </c>
      <c r="G230" s="8" t="b">
        <v>1</v>
      </c>
      <c r="L230" s="7" t="s">
        <v>1481</v>
      </c>
    </row>
    <row r="231" spans="1:12" ht="15.75" customHeight="1">
      <c r="A231" s="8">
        <v>2103400008</v>
      </c>
      <c r="B231" s="8">
        <v>2103400008</v>
      </c>
      <c r="C231" s="8" t="s">
        <v>353</v>
      </c>
      <c r="D231" s="8" t="s">
        <v>313</v>
      </c>
      <c r="G231" s="8" t="b">
        <v>1</v>
      </c>
      <c r="L231" s="7" t="s">
        <v>1481</v>
      </c>
    </row>
    <row r="232" spans="1:12" ht="15.75" customHeight="1">
      <c r="A232" s="8">
        <v>2103400089</v>
      </c>
      <c r="B232" s="8">
        <v>2103400089</v>
      </c>
      <c r="C232" s="8" t="s">
        <v>354</v>
      </c>
      <c r="D232" s="8" t="s">
        <v>313</v>
      </c>
      <c r="G232" s="8" t="b">
        <v>1</v>
      </c>
      <c r="L232" s="7" t="s">
        <v>1481</v>
      </c>
    </row>
    <row r="233" spans="1:12" ht="15.75" customHeight="1">
      <c r="A233" s="8">
        <v>2103400999</v>
      </c>
      <c r="B233" s="8">
        <v>2103400999</v>
      </c>
      <c r="C233" s="8" t="s">
        <v>355</v>
      </c>
      <c r="D233" s="8" t="s">
        <v>313</v>
      </c>
      <c r="G233" s="8" t="b">
        <v>0</v>
      </c>
      <c r="L233" s="7" t="s">
        <v>1481</v>
      </c>
    </row>
    <row r="234" spans="1:12" ht="15.75" customHeight="1">
      <c r="A234" s="8">
        <v>2103500001</v>
      </c>
      <c r="B234" s="8">
        <v>2103500001</v>
      </c>
      <c r="C234" s="8" t="s">
        <v>356</v>
      </c>
      <c r="D234" s="8" t="s">
        <v>313</v>
      </c>
      <c r="G234" s="8" t="b">
        <v>1</v>
      </c>
      <c r="L234" s="7" t="s">
        <v>1481</v>
      </c>
    </row>
    <row r="235" spans="1:12" ht="15.75" customHeight="1">
      <c r="A235" s="8">
        <v>2104100001</v>
      </c>
      <c r="B235" s="8">
        <v>2104100001</v>
      </c>
      <c r="C235" s="8" t="s">
        <v>357</v>
      </c>
      <c r="D235" s="8" t="s">
        <v>313</v>
      </c>
      <c r="G235" s="8" t="b">
        <v>0</v>
      </c>
      <c r="L235" s="7" t="s">
        <v>1481</v>
      </c>
    </row>
    <row r="236" spans="1:12" ht="15.75" customHeight="1">
      <c r="A236" s="8">
        <v>2104100003</v>
      </c>
      <c r="B236" s="8">
        <v>2104100003</v>
      </c>
      <c r="C236" s="8" t="s">
        <v>358</v>
      </c>
      <c r="D236" s="8" t="s">
        <v>313</v>
      </c>
      <c r="G236" s="8" t="b">
        <v>0</v>
      </c>
      <c r="L236" s="7" t="s">
        <v>1481</v>
      </c>
    </row>
    <row r="237" spans="1:12" ht="15.75" customHeight="1">
      <c r="A237" s="8">
        <v>2104100004</v>
      </c>
      <c r="B237" s="8">
        <v>2104100004</v>
      </c>
      <c r="C237" s="8" t="s">
        <v>359</v>
      </c>
      <c r="D237" s="8" t="s">
        <v>313</v>
      </c>
      <c r="G237" s="8" t="b">
        <v>0</v>
      </c>
      <c r="L237" s="7" t="s">
        <v>1481</v>
      </c>
    </row>
    <row r="238" spans="1:12" ht="15.75" customHeight="1">
      <c r="A238" s="8">
        <v>2104100005</v>
      </c>
      <c r="B238" s="8">
        <v>2104100005</v>
      </c>
      <c r="C238" s="8" t="s">
        <v>360</v>
      </c>
      <c r="D238" s="8" t="s">
        <v>313</v>
      </c>
      <c r="G238" s="8" t="b">
        <v>0</v>
      </c>
      <c r="L238" s="7" t="s">
        <v>1481</v>
      </c>
    </row>
    <row r="239" spans="1:12" ht="15.75" customHeight="1">
      <c r="A239" s="8">
        <v>2104100007</v>
      </c>
      <c r="B239" s="8">
        <v>2104100007</v>
      </c>
      <c r="C239" s="8" t="s">
        <v>361</v>
      </c>
      <c r="D239" s="8" t="s">
        <v>313</v>
      </c>
      <c r="G239" s="8" t="b">
        <v>0</v>
      </c>
      <c r="L239" s="7" t="s">
        <v>1481</v>
      </c>
    </row>
    <row r="240" spans="1:12" ht="15.75" customHeight="1">
      <c r="A240" s="8">
        <v>2104100008</v>
      </c>
      <c r="B240" s="8">
        <v>2104100008</v>
      </c>
      <c r="C240" s="8" t="s">
        <v>362</v>
      </c>
      <c r="D240" s="8" t="s">
        <v>313</v>
      </c>
      <c r="G240" s="8" t="b">
        <v>0</v>
      </c>
      <c r="L240" s="7" t="s">
        <v>1481</v>
      </c>
    </row>
    <row r="241" spans="1:12" ht="15.75" customHeight="1">
      <c r="A241" s="8">
        <v>2104200001</v>
      </c>
      <c r="B241" s="8">
        <v>2104200001</v>
      </c>
      <c r="C241" s="8" t="s">
        <v>363</v>
      </c>
      <c r="D241" s="8" t="s">
        <v>313</v>
      </c>
      <c r="G241" s="8" t="b">
        <v>0</v>
      </c>
      <c r="L241" s="7" t="s">
        <v>1481</v>
      </c>
    </row>
    <row r="242" spans="1:12" ht="15.75" customHeight="1">
      <c r="A242" s="8">
        <v>2104300001</v>
      </c>
      <c r="B242" s="8">
        <v>2104300001</v>
      </c>
      <c r="C242" s="8" t="s">
        <v>364</v>
      </c>
      <c r="D242" s="8" t="s">
        <v>313</v>
      </c>
      <c r="G242" s="8" t="b">
        <v>0</v>
      </c>
      <c r="L242" s="7" t="s">
        <v>1481</v>
      </c>
    </row>
    <row r="243" spans="1:12" ht="15.75" customHeight="1">
      <c r="A243" s="8">
        <v>2104300002</v>
      </c>
      <c r="B243" s="8">
        <v>2104300002</v>
      </c>
      <c r="C243" s="8" t="s">
        <v>365</v>
      </c>
      <c r="D243" s="8" t="s">
        <v>313</v>
      </c>
      <c r="G243" s="8" t="b">
        <v>0</v>
      </c>
      <c r="L243" s="7" t="s">
        <v>1481</v>
      </c>
    </row>
    <row r="244" spans="1:12" ht="15.75" customHeight="1">
      <c r="A244" s="8">
        <v>2104300009</v>
      </c>
      <c r="B244" s="8">
        <v>2104300009</v>
      </c>
      <c r="C244" s="8" t="s">
        <v>366</v>
      </c>
      <c r="D244" s="8" t="s">
        <v>313</v>
      </c>
      <c r="G244" s="8" t="b">
        <v>1</v>
      </c>
      <c r="L244" s="7" t="s">
        <v>1481</v>
      </c>
    </row>
    <row r="245" spans="1:12" ht="15.75" customHeight="1">
      <c r="A245" s="8">
        <v>2104900001</v>
      </c>
      <c r="B245" s="8">
        <v>2104900001</v>
      </c>
      <c r="C245" s="8" t="s">
        <v>367</v>
      </c>
      <c r="D245" s="8" t="s">
        <v>313</v>
      </c>
      <c r="G245" s="8" t="b">
        <v>1</v>
      </c>
      <c r="L245" s="7" t="s">
        <v>1481</v>
      </c>
    </row>
    <row r="246" spans="1:12" ht="15.75" customHeight="1">
      <c r="A246" s="8">
        <v>2105100001</v>
      </c>
      <c r="B246" s="8">
        <v>2105100001</v>
      </c>
      <c r="C246" s="8" t="s">
        <v>368</v>
      </c>
      <c r="D246" s="8" t="s">
        <v>313</v>
      </c>
      <c r="G246" s="8" t="b">
        <v>1</v>
      </c>
      <c r="L246" s="7" t="s">
        <v>1481</v>
      </c>
    </row>
    <row r="247" spans="1:12" ht="15.75" customHeight="1">
      <c r="A247" s="8">
        <v>2105100002</v>
      </c>
      <c r="B247" s="8">
        <v>2105100002</v>
      </c>
      <c r="C247" s="8" t="s">
        <v>369</v>
      </c>
      <c r="D247" s="8" t="s">
        <v>313</v>
      </c>
      <c r="G247" s="8" t="b">
        <v>1</v>
      </c>
      <c r="L247" s="7" t="s">
        <v>1481</v>
      </c>
    </row>
    <row r="248" spans="1:12" ht="15.75" customHeight="1">
      <c r="A248" s="8">
        <v>2105100003</v>
      </c>
      <c r="B248" s="8">
        <v>2105100003</v>
      </c>
      <c r="C248" s="8" t="s">
        <v>370</v>
      </c>
      <c r="D248" s="8" t="s">
        <v>313</v>
      </c>
      <c r="G248" s="8" t="b">
        <v>1</v>
      </c>
      <c r="L248" s="7" t="s">
        <v>1481</v>
      </c>
    </row>
    <row r="249" spans="1:12" ht="15.75" customHeight="1">
      <c r="A249" s="8">
        <v>2105100004</v>
      </c>
      <c r="B249" s="8">
        <v>2105100004</v>
      </c>
      <c r="C249" s="8" t="s">
        <v>371</v>
      </c>
      <c r="D249" s="8" t="s">
        <v>313</v>
      </c>
      <c r="G249" s="8" t="b">
        <v>1</v>
      </c>
      <c r="L249" s="7" t="s">
        <v>1481</v>
      </c>
    </row>
    <row r="250" spans="1:12" ht="15.75" customHeight="1">
      <c r="A250" s="8">
        <v>2105100005</v>
      </c>
      <c r="B250" s="8">
        <v>2105100005</v>
      </c>
      <c r="C250" s="8" t="s">
        <v>372</v>
      </c>
      <c r="D250" s="8" t="s">
        <v>313</v>
      </c>
      <c r="G250" s="8" t="b">
        <v>1</v>
      </c>
      <c r="L250" s="7" t="s">
        <v>1481</v>
      </c>
    </row>
    <row r="251" spans="1:12" ht="15.75" customHeight="1">
      <c r="A251" s="8">
        <v>2105100006</v>
      </c>
      <c r="B251" s="8">
        <v>2105100006</v>
      </c>
      <c r="C251" s="8" t="s">
        <v>373</v>
      </c>
      <c r="D251" s="8" t="s">
        <v>313</v>
      </c>
      <c r="G251" s="8" t="b">
        <v>1</v>
      </c>
      <c r="L251" s="7" t="s">
        <v>1481</v>
      </c>
    </row>
    <row r="252" spans="1:12" ht="15.75" customHeight="1">
      <c r="A252" s="8">
        <v>2105100007</v>
      </c>
      <c r="B252" s="8">
        <v>2105100007</v>
      </c>
      <c r="C252" s="8" t="s">
        <v>374</v>
      </c>
      <c r="D252" s="8" t="s">
        <v>313</v>
      </c>
      <c r="G252" s="8" t="b">
        <v>1</v>
      </c>
      <c r="L252" s="7" t="s">
        <v>1481</v>
      </c>
    </row>
    <row r="253" spans="1:12" ht="15.75" customHeight="1">
      <c r="A253" s="8">
        <v>2105100008</v>
      </c>
      <c r="B253" s="8">
        <v>2105100008</v>
      </c>
      <c r="C253" s="8" t="s">
        <v>375</v>
      </c>
      <c r="D253" s="8" t="s">
        <v>313</v>
      </c>
      <c r="G253" s="8" t="b">
        <v>1</v>
      </c>
      <c r="L253" s="7" t="s">
        <v>1481</v>
      </c>
    </row>
    <row r="254" spans="1:12" ht="15.75" customHeight="1">
      <c r="A254" s="8">
        <v>2105100009</v>
      </c>
      <c r="B254" s="8">
        <v>2105100009</v>
      </c>
      <c r="C254" s="8" t="s">
        <v>376</v>
      </c>
      <c r="D254" s="8" t="s">
        <v>313</v>
      </c>
      <c r="G254" s="8" t="b">
        <v>1</v>
      </c>
      <c r="L254" s="7" t="s">
        <v>1481</v>
      </c>
    </row>
    <row r="255" spans="1:12" ht="15.75" customHeight="1">
      <c r="A255" s="8">
        <v>2105100010</v>
      </c>
      <c r="B255" s="8">
        <v>2105100010</v>
      </c>
      <c r="C255" s="8" t="s">
        <v>377</v>
      </c>
      <c r="D255" s="8" t="s">
        <v>313</v>
      </c>
      <c r="G255" s="8" t="b">
        <v>1</v>
      </c>
      <c r="L255" s="7" t="s">
        <v>1481</v>
      </c>
    </row>
    <row r="256" spans="1:12" ht="15.75" customHeight="1">
      <c r="A256" s="8">
        <v>2105100011</v>
      </c>
      <c r="B256" s="8">
        <v>2105100011</v>
      </c>
      <c r="C256" s="8" t="s">
        <v>378</v>
      </c>
      <c r="D256" s="8" t="s">
        <v>313</v>
      </c>
      <c r="G256" s="8" t="b">
        <v>1</v>
      </c>
      <c r="L256" s="7" t="s">
        <v>1481</v>
      </c>
    </row>
    <row r="257" spans="1:12" ht="15.75" customHeight="1">
      <c r="A257" s="8">
        <v>2105100099</v>
      </c>
      <c r="B257" s="8">
        <v>2105100099</v>
      </c>
      <c r="C257" s="8" t="s">
        <v>379</v>
      </c>
      <c r="D257" s="8" t="s">
        <v>313</v>
      </c>
      <c r="G257" s="8" t="b">
        <v>1</v>
      </c>
      <c r="L257" s="7" t="s">
        <v>1481</v>
      </c>
    </row>
    <row r="258" spans="1:12" ht="15.75" customHeight="1">
      <c r="A258" s="8">
        <v>2105200001</v>
      </c>
      <c r="B258" s="8">
        <v>2105200001</v>
      </c>
      <c r="C258" s="8" t="s">
        <v>380</v>
      </c>
      <c r="D258" s="8" t="s">
        <v>313</v>
      </c>
      <c r="G258" s="8" t="b">
        <v>1</v>
      </c>
      <c r="L258" s="7" t="s">
        <v>1481</v>
      </c>
    </row>
    <row r="259" spans="1:12" ht="15.75" customHeight="1">
      <c r="A259" s="8">
        <v>2105200002</v>
      </c>
      <c r="B259" s="8">
        <v>2105200002</v>
      </c>
      <c r="C259" s="8" t="s">
        <v>381</v>
      </c>
      <c r="D259" s="8" t="s">
        <v>313</v>
      </c>
      <c r="G259" s="8" t="b">
        <v>1</v>
      </c>
      <c r="L259" s="7" t="s">
        <v>1481</v>
      </c>
    </row>
    <row r="260" spans="1:12" ht="15.75" customHeight="1">
      <c r="A260" s="8">
        <v>2105200003</v>
      </c>
      <c r="B260" s="8">
        <v>2105200003</v>
      </c>
      <c r="C260" s="8" t="s">
        <v>382</v>
      </c>
      <c r="D260" s="8" t="s">
        <v>313</v>
      </c>
      <c r="G260" s="8" t="b">
        <v>1</v>
      </c>
      <c r="L260" s="7" t="s">
        <v>1481</v>
      </c>
    </row>
    <row r="261" spans="1:12" ht="15.75" customHeight="1">
      <c r="A261" s="8">
        <v>2105200006</v>
      </c>
      <c r="B261" s="8">
        <v>2105200006</v>
      </c>
      <c r="C261" s="8" t="s">
        <v>383</v>
      </c>
      <c r="D261" s="8" t="s">
        <v>313</v>
      </c>
      <c r="G261" s="8" t="b">
        <v>1</v>
      </c>
      <c r="L261" s="7" t="s">
        <v>1481</v>
      </c>
    </row>
    <row r="262" spans="1:12" ht="15.75" customHeight="1">
      <c r="A262" s="8">
        <v>2106000001</v>
      </c>
      <c r="B262" s="8">
        <v>2106000001</v>
      </c>
      <c r="C262" s="8" t="s">
        <v>384</v>
      </c>
      <c r="D262" s="8" t="s">
        <v>313</v>
      </c>
      <c r="G262" s="8" t="b">
        <v>0</v>
      </c>
      <c r="L262" s="7" t="s">
        <v>1481</v>
      </c>
    </row>
    <row r="263" spans="1:12" ht="15.75" customHeight="1">
      <c r="A263" s="8">
        <v>2108100001</v>
      </c>
      <c r="B263" s="8">
        <v>2108100001</v>
      </c>
      <c r="C263" s="8" t="s">
        <v>385</v>
      </c>
      <c r="D263" s="8" t="s">
        <v>313</v>
      </c>
      <c r="G263" s="8" t="b">
        <v>1</v>
      </c>
      <c r="L263" s="7" t="s">
        <v>1481</v>
      </c>
    </row>
    <row r="264" spans="1:12" ht="15.75" customHeight="1">
      <c r="A264" s="8">
        <v>2108200001</v>
      </c>
      <c r="B264" s="8">
        <v>2108200001</v>
      </c>
      <c r="C264" s="8" t="s">
        <v>386</v>
      </c>
      <c r="D264" s="8" t="s">
        <v>313</v>
      </c>
      <c r="G264" s="8" t="b">
        <v>1</v>
      </c>
      <c r="L264" s="7" t="s">
        <v>1481</v>
      </c>
    </row>
    <row r="265" spans="1:12" ht="15.75" customHeight="1">
      <c r="A265" s="8">
        <v>2109000001</v>
      </c>
      <c r="B265" s="8">
        <v>2109000001</v>
      </c>
      <c r="C265" s="8" t="s">
        <v>387</v>
      </c>
      <c r="D265" s="8" t="s">
        <v>313</v>
      </c>
      <c r="G265" s="8" t="b">
        <v>0</v>
      </c>
      <c r="L265" s="7" t="s">
        <v>1481</v>
      </c>
    </row>
    <row r="266" spans="1:12" ht="15.75" customHeight="1">
      <c r="A266" s="8">
        <v>2201000001</v>
      </c>
      <c r="B266" s="8">
        <v>2201000001</v>
      </c>
      <c r="C266" s="8" t="s">
        <v>388</v>
      </c>
      <c r="D266" s="8" t="s">
        <v>389</v>
      </c>
      <c r="G266" s="8" t="b">
        <v>0</v>
      </c>
      <c r="L266" s="7" t="s">
        <v>1481</v>
      </c>
    </row>
    <row r="267" spans="1:12" ht="15.75" customHeight="1">
      <c r="A267" s="8">
        <v>2201000009</v>
      </c>
      <c r="B267" s="8">
        <v>2201000009</v>
      </c>
      <c r="C267" s="8" t="s">
        <v>390</v>
      </c>
      <c r="D267" s="8" t="s">
        <v>389</v>
      </c>
      <c r="G267" s="8" t="b">
        <v>0</v>
      </c>
      <c r="L267" s="7" t="s">
        <v>1481</v>
      </c>
    </row>
    <row r="268" spans="1:12" ht="15.75" customHeight="1">
      <c r="A268" s="8">
        <v>2202200002</v>
      </c>
      <c r="B268" s="8">
        <v>2202200002</v>
      </c>
      <c r="C268" s="8" t="s">
        <v>391</v>
      </c>
      <c r="D268" s="8" t="s">
        <v>389</v>
      </c>
      <c r="G268" s="8" t="b">
        <v>0</v>
      </c>
      <c r="L268" s="7" t="s">
        <v>1481</v>
      </c>
    </row>
    <row r="269" spans="1:12" ht="15.75" customHeight="1">
      <c r="A269" s="8">
        <v>2202300003</v>
      </c>
      <c r="B269" s="8">
        <v>2202300003</v>
      </c>
      <c r="C269" s="8" t="s">
        <v>392</v>
      </c>
      <c r="D269" s="8" t="s">
        <v>389</v>
      </c>
      <c r="G269" s="8" t="b">
        <v>1</v>
      </c>
      <c r="L269" s="7" t="s">
        <v>1481</v>
      </c>
    </row>
    <row r="270" spans="1:12" ht="15.75" customHeight="1">
      <c r="A270" s="8">
        <v>2203000001</v>
      </c>
      <c r="B270" s="8">
        <v>2203000001</v>
      </c>
      <c r="C270" s="8" t="s">
        <v>393</v>
      </c>
      <c r="D270" s="8" t="s">
        <v>389</v>
      </c>
      <c r="G270" s="8" t="b">
        <v>1</v>
      </c>
      <c r="L270" s="7" t="s">
        <v>1481</v>
      </c>
    </row>
    <row r="271" spans="1:12" ht="15.75" customHeight="1">
      <c r="A271" s="8">
        <v>2203000002</v>
      </c>
      <c r="B271" s="8">
        <v>2203000002</v>
      </c>
      <c r="C271" s="8" t="s">
        <v>394</v>
      </c>
      <c r="D271" s="8" t="s">
        <v>389</v>
      </c>
      <c r="G271" s="8" t="b">
        <v>1</v>
      </c>
      <c r="L271" s="7" t="s">
        <v>1481</v>
      </c>
    </row>
    <row r="272" spans="1:12" ht="15.75" customHeight="1">
      <c r="A272" s="8">
        <v>2204000000</v>
      </c>
      <c r="B272" s="8">
        <v>2204000000</v>
      </c>
      <c r="C272" s="8" t="s">
        <v>395</v>
      </c>
      <c r="D272" s="8" t="s">
        <v>389</v>
      </c>
      <c r="G272" s="8" t="b">
        <v>0</v>
      </c>
      <c r="L272" s="7" t="s">
        <v>1481</v>
      </c>
    </row>
    <row r="273" spans="1:12" ht="15.75" customHeight="1">
      <c r="A273" s="8">
        <v>2204000001</v>
      </c>
      <c r="B273" s="8">
        <v>2204000001</v>
      </c>
      <c r="C273" s="8" t="s">
        <v>396</v>
      </c>
      <c r="D273" s="8" t="s">
        <v>389</v>
      </c>
      <c r="G273" s="8" t="b">
        <v>1</v>
      </c>
      <c r="L273" s="7" t="s">
        <v>1481</v>
      </c>
    </row>
    <row r="274" spans="1:12" ht="15.75" customHeight="1">
      <c r="A274" s="8">
        <v>2204000002</v>
      </c>
      <c r="B274" s="8">
        <v>2204000002</v>
      </c>
      <c r="C274" s="8" t="s">
        <v>397</v>
      </c>
      <c r="D274" s="8" t="s">
        <v>389</v>
      </c>
      <c r="G274" s="8" t="b">
        <v>1</v>
      </c>
      <c r="L274" s="7" t="s">
        <v>1481</v>
      </c>
    </row>
    <row r="275" spans="1:12" ht="15.75" customHeight="1">
      <c r="A275" s="8">
        <v>2205000001</v>
      </c>
      <c r="B275" s="8">
        <v>2205000001</v>
      </c>
      <c r="C275" s="8" t="s">
        <v>398</v>
      </c>
      <c r="D275" s="8" t="s">
        <v>389</v>
      </c>
      <c r="G275" s="8" t="b">
        <v>0</v>
      </c>
      <c r="L275" s="7" t="s">
        <v>1481</v>
      </c>
    </row>
    <row r="276" spans="1:12" ht="15.75" customHeight="1">
      <c r="A276" s="8">
        <v>2205000002</v>
      </c>
      <c r="B276" s="8">
        <v>2205000002</v>
      </c>
      <c r="C276" s="8" t="s">
        <v>399</v>
      </c>
      <c r="D276" s="8" t="s">
        <v>389</v>
      </c>
      <c r="G276" s="8" t="b">
        <v>0</v>
      </c>
      <c r="L276" s="7" t="s">
        <v>1481</v>
      </c>
    </row>
    <row r="277" spans="1:12" ht="15.75" customHeight="1">
      <c r="A277" s="8">
        <v>2205000003</v>
      </c>
      <c r="B277" s="8">
        <v>2205000003</v>
      </c>
      <c r="C277" s="8" t="s">
        <v>400</v>
      </c>
      <c r="D277" s="8" t="s">
        <v>389</v>
      </c>
      <c r="G277" s="8" t="b">
        <v>0</v>
      </c>
      <c r="L277" s="7" t="s">
        <v>1481</v>
      </c>
    </row>
    <row r="278" spans="1:12" ht="15.75" customHeight="1">
      <c r="A278" s="8">
        <v>2205000004</v>
      </c>
      <c r="B278" s="8">
        <v>2205000004</v>
      </c>
      <c r="C278" s="8" t="s">
        <v>401</v>
      </c>
      <c r="D278" s="8" t="s">
        <v>389</v>
      </c>
      <c r="G278" s="8" t="b">
        <v>0</v>
      </c>
      <c r="L278" s="7" t="s">
        <v>1481</v>
      </c>
    </row>
    <row r="279" spans="1:12" ht="15.75" customHeight="1">
      <c r="A279" s="8">
        <v>2205000005</v>
      </c>
      <c r="B279" s="8">
        <v>2205000005</v>
      </c>
      <c r="C279" s="8" t="s">
        <v>402</v>
      </c>
      <c r="D279" s="8" t="s">
        <v>389</v>
      </c>
      <c r="G279" s="8" t="b">
        <v>0</v>
      </c>
      <c r="L279" s="7" t="s">
        <v>1481</v>
      </c>
    </row>
    <row r="280" spans="1:12" ht="15.75" customHeight="1">
      <c r="A280" s="8">
        <v>2205000006</v>
      </c>
      <c r="B280" s="8">
        <v>2205000006</v>
      </c>
      <c r="C280" s="8" t="s">
        <v>403</v>
      </c>
      <c r="D280" s="8" t="s">
        <v>389</v>
      </c>
      <c r="G280" s="8" t="b">
        <v>0</v>
      </c>
      <c r="L280" s="7" t="s">
        <v>1481</v>
      </c>
    </row>
    <row r="281" spans="1:12" ht="15.75" customHeight="1">
      <c r="A281" s="8">
        <v>2205000007</v>
      </c>
      <c r="B281" s="8">
        <v>2205000007</v>
      </c>
      <c r="C281" s="8" t="s">
        <v>404</v>
      </c>
      <c r="D281" s="8" t="s">
        <v>389</v>
      </c>
      <c r="G281" s="8" t="b">
        <v>0</v>
      </c>
      <c r="L281" s="7" t="s">
        <v>1481</v>
      </c>
    </row>
    <row r="282" spans="1:12" ht="15.75" customHeight="1">
      <c r="A282" s="8">
        <v>2205000008</v>
      </c>
      <c r="B282" s="8">
        <v>2205000008</v>
      </c>
      <c r="C282" s="8" t="s">
        <v>405</v>
      </c>
      <c r="D282" s="8" t="s">
        <v>389</v>
      </c>
      <c r="G282" s="8" t="b">
        <v>0</v>
      </c>
      <c r="L282" s="7" t="s">
        <v>1481</v>
      </c>
    </row>
    <row r="283" spans="1:12" ht="15.75" customHeight="1">
      <c r="A283" s="8">
        <v>2206000001</v>
      </c>
      <c r="B283" s="8">
        <v>2206000001</v>
      </c>
      <c r="C283" s="8" t="s">
        <v>406</v>
      </c>
      <c r="D283" s="8" t="s">
        <v>389</v>
      </c>
      <c r="G283" s="8" t="b">
        <v>0</v>
      </c>
      <c r="L283" s="7" t="s">
        <v>1481</v>
      </c>
    </row>
    <row r="284" spans="1:12" ht="15.75" customHeight="1">
      <c r="A284" s="8">
        <v>3001100001</v>
      </c>
      <c r="B284" s="8">
        <v>3001100001</v>
      </c>
      <c r="C284" s="8" t="s">
        <v>407</v>
      </c>
      <c r="D284" s="8" t="s">
        <v>408</v>
      </c>
      <c r="G284" s="8" t="b">
        <v>0</v>
      </c>
      <c r="L284" s="7" t="s">
        <v>1481</v>
      </c>
    </row>
    <row r="285" spans="1:12" ht="15.75" customHeight="1">
      <c r="A285" s="8">
        <v>3001200001</v>
      </c>
      <c r="B285" s="8">
        <v>3001200001</v>
      </c>
      <c r="C285" s="8" t="s">
        <v>409</v>
      </c>
      <c r="D285" s="8" t="s">
        <v>408</v>
      </c>
      <c r="G285" s="8" t="b">
        <v>0</v>
      </c>
      <c r="L285" s="7" t="s">
        <v>1481</v>
      </c>
    </row>
    <row r="286" spans="1:12" ht="15.75" customHeight="1">
      <c r="A286" s="8">
        <v>3001300001</v>
      </c>
      <c r="B286" s="8">
        <v>3001300001</v>
      </c>
      <c r="C286" s="8" t="s">
        <v>410</v>
      </c>
      <c r="D286" s="8" t="s">
        <v>408</v>
      </c>
      <c r="G286" s="8" t="b">
        <v>0</v>
      </c>
      <c r="L286" s="7" t="s">
        <v>1481</v>
      </c>
    </row>
    <row r="287" spans="1:12" ht="15.75" customHeight="1">
      <c r="A287" s="8">
        <v>3002000001</v>
      </c>
      <c r="B287" s="8">
        <v>3002000001</v>
      </c>
      <c r="C287" s="8" t="s">
        <v>411</v>
      </c>
      <c r="D287" s="8" t="s">
        <v>408</v>
      </c>
      <c r="G287" s="8" t="b">
        <v>0</v>
      </c>
      <c r="L287" s="7" t="s">
        <v>1481</v>
      </c>
    </row>
    <row r="288" spans="1:12" ht="15.75" customHeight="1">
      <c r="A288" s="8">
        <v>3003000001</v>
      </c>
      <c r="B288" s="8">
        <v>3003000001</v>
      </c>
      <c r="C288" s="8" t="s">
        <v>412</v>
      </c>
      <c r="D288" s="8" t="s">
        <v>408</v>
      </c>
      <c r="G288" s="8" t="b">
        <v>0</v>
      </c>
      <c r="L288" s="7" t="s">
        <v>1481</v>
      </c>
    </row>
    <row r="289" spans="1:12" ht="15.75" customHeight="1">
      <c r="A289" s="8">
        <v>3004100001</v>
      </c>
      <c r="B289" s="8">
        <v>3004100001</v>
      </c>
      <c r="C289" s="8" t="s">
        <v>413</v>
      </c>
      <c r="D289" s="8" t="s">
        <v>408</v>
      </c>
      <c r="G289" s="8" t="b">
        <v>0</v>
      </c>
      <c r="L289" s="7" t="s">
        <v>1481</v>
      </c>
    </row>
    <row r="290" spans="1:12" ht="15.75" customHeight="1">
      <c r="A290" s="8">
        <v>3004200001</v>
      </c>
      <c r="B290" s="8">
        <v>3004200001</v>
      </c>
      <c r="C290" s="8" t="s">
        <v>414</v>
      </c>
      <c r="D290" s="8" t="s">
        <v>408</v>
      </c>
      <c r="G290" s="8" t="b">
        <v>0</v>
      </c>
      <c r="L290" s="7" t="s">
        <v>1481</v>
      </c>
    </row>
    <row r="291" spans="1:12" ht="15.75" customHeight="1">
      <c r="A291" s="8">
        <v>3005100001</v>
      </c>
      <c r="B291" s="8">
        <v>3005100001</v>
      </c>
      <c r="C291" s="8" t="s">
        <v>415</v>
      </c>
      <c r="D291" s="8" t="s">
        <v>408</v>
      </c>
      <c r="G291" s="8" t="b">
        <v>0</v>
      </c>
      <c r="L291" s="7" t="s">
        <v>1481</v>
      </c>
    </row>
    <row r="292" spans="1:12" ht="15.75" customHeight="1">
      <c r="A292" s="8">
        <v>3005100002</v>
      </c>
      <c r="B292" s="8">
        <v>3005100002</v>
      </c>
      <c r="C292" s="8" t="s">
        <v>416</v>
      </c>
      <c r="D292" s="8" t="s">
        <v>408</v>
      </c>
      <c r="G292" s="8" t="b">
        <v>0</v>
      </c>
      <c r="L292" s="7" t="s">
        <v>1481</v>
      </c>
    </row>
    <row r="293" spans="1:12" ht="15.75" customHeight="1">
      <c r="A293" s="8">
        <v>3005100003</v>
      </c>
      <c r="B293" s="8">
        <v>3005100003</v>
      </c>
      <c r="C293" s="8" t="s">
        <v>417</v>
      </c>
      <c r="D293" s="8" t="s">
        <v>408</v>
      </c>
      <c r="G293" s="8" t="b">
        <v>0</v>
      </c>
      <c r="L293" s="7" t="s">
        <v>1481</v>
      </c>
    </row>
    <row r="294" spans="1:12" ht="15.75" customHeight="1">
      <c r="A294" s="8">
        <v>3005100004</v>
      </c>
      <c r="B294" s="8">
        <v>3005100004</v>
      </c>
      <c r="C294" s="8" t="s">
        <v>418</v>
      </c>
      <c r="D294" s="8" t="s">
        <v>408</v>
      </c>
      <c r="G294" s="8" t="b">
        <v>0</v>
      </c>
      <c r="L294" s="7" t="s">
        <v>1481</v>
      </c>
    </row>
    <row r="295" spans="1:12" ht="15.75" customHeight="1">
      <c r="A295" s="8">
        <v>3005100005</v>
      </c>
      <c r="B295" s="8">
        <v>3005100005</v>
      </c>
      <c r="C295" s="8" t="s">
        <v>419</v>
      </c>
      <c r="D295" s="8" t="s">
        <v>408</v>
      </c>
      <c r="G295" s="8" t="b">
        <v>0</v>
      </c>
      <c r="L295" s="7" t="s">
        <v>1481</v>
      </c>
    </row>
    <row r="296" spans="1:12" ht="15.75" customHeight="1">
      <c r="A296" s="8">
        <v>3005100006</v>
      </c>
      <c r="B296" s="8">
        <v>3005100006</v>
      </c>
      <c r="C296" s="8" t="s">
        <v>420</v>
      </c>
      <c r="D296" s="8" t="s">
        <v>408</v>
      </c>
      <c r="G296" s="8" t="b">
        <v>0</v>
      </c>
      <c r="L296" s="7" t="s">
        <v>1481</v>
      </c>
    </row>
    <row r="297" spans="1:12" ht="15.75" customHeight="1">
      <c r="A297" s="8">
        <v>3005200001</v>
      </c>
      <c r="B297" s="8">
        <v>3005200001</v>
      </c>
      <c r="C297" s="8" t="s">
        <v>421</v>
      </c>
      <c r="D297" s="8" t="s">
        <v>408</v>
      </c>
      <c r="G297" s="8" t="b">
        <v>0</v>
      </c>
      <c r="L297" s="7" t="s">
        <v>1481</v>
      </c>
    </row>
    <row r="298" spans="1:12" ht="15.75" customHeight="1">
      <c r="A298" s="8">
        <v>3005200002</v>
      </c>
      <c r="B298" s="8">
        <v>3005200002</v>
      </c>
      <c r="C298" s="8" t="s">
        <v>422</v>
      </c>
      <c r="D298" s="8" t="s">
        <v>408</v>
      </c>
      <c r="G298" s="8" t="b">
        <v>0</v>
      </c>
      <c r="L298" s="7" t="s">
        <v>1481</v>
      </c>
    </row>
    <row r="299" spans="1:12" ht="15.75" customHeight="1">
      <c r="A299" s="8">
        <v>3005200003</v>
      </c>
      <c r="B299" s="8">
        <v>3005200003</v>
      </c>
      <c r="C299" s="8" t="s">
        <v>423</v>
      </c>
      <c r="D299" s="8" t="s">
        <v>408</v>
      </c>
      <c r="G299" s="8" t="b">
        <v>0</v>
      </c>
      <c r="L299" s="7" t="s">
        <v>1481</v>
      </c>
    </row>
    <row r="300" spans="1:12" ht="15.75" customHeight="1">
      <c r="A300" s="8">
        <v>3005200004</v>
      </c>
      <c r="B300" s="8">
        <v>3005200004</v>
      </c>
      <c r="C300" s="8" t="s">
        <v>424</v>
      </c>
      <c r="D300" s="8" t="s">
        <v>408</v>
      </c>
      <c r="G300" s="8" t="b">
        <v>0</v>
      </c>
      <c r="L300" s="7" t="s">
        <v>1481</v>
      </c>
    </row>
    <row r="301" spans="1:12" ht="15.75" customHeight="1">
      <c r="A301" s="8">
        <v>3005200005</v>
      </c>
      <c r="B301" s="8">
        <v>3005200005</v>
      </c>
      <c r="C301" s="8" t="s">
        <v>425</v>
      </c>
      <c r="D301" s="8" t="s">
        <v>408</v>
      </c>
      <c r="G301" s="8" t="b">
        <v>0</v>
      </c>
      <c r="L301" s="7" t="s">
        <v>1481</v>
      </c>
    </row>
    <row r="302" spans="1:12" ht="15.75" customHeight="1">
      <c r="A302" s="8">
        <v>3005200006</v>
      </c>
      <c r="B302" s="8">
        <v>3005200006</v>
      </c>
      <c r="C302" s="8" t="s">
        <v>426</v>
      </c>
      <c r="D302" s="8" t="s">
        <v>408</v>
      </c>
      <c r="G302" s="8" t="b">
        <v>0</v>
      </c>
      <c r="L302" s="7" t="s">
        <v>1481</v>
      </c>
    </row>
    <row r="303" spans="1:12" ht="15.75" customHeight="1">
      <c r="A303" s="8">
        <v>3006100001</v>
      </c>
      <c r="B303" s="8">
        <v>3006100001</v>
      </c>
      <c r="C303" s="8" t="s">
        <v>427</v>
      </c>
      <c r="D303" s="8" t="s">
        <v>408</v>
      </c>
      <c r="G303" s="8" t="b">
        <v>0</v>
      </c>
      <c r="L303" s="7" t="s">
        <v>1481</v>
      </c>
    </row>
    <row r="304" spans="1:12" ht="15.75" customHeight="1">
      <c r="A304" s="8">
        <v>3006200001</v>
      </c>
      <c r="B304" s="8">
        <v>3006200001</v>
      </c>
      <c r="C304" s="8" t="s">
        <v>428</v>
      </c>
      <c r="D304" s="8" t="s">
        <v>408</v>
      </c>
      <c r="G304" s="8" t="b">
        <v>0</v>
      </c>
      <c r="L304" s="7" t="s">
        <v>1481</v>
      </c>
    </row>
    <row r="305" spans="1:12" ht="15.75" customHeight="1">
      <c r="A305" s="8">
        <v>3007000001</v>
      </c>
      <c r="B305" s="8">
        <v>3007000001</v>
      </c>
      <c r="C305" s="8" t="s">
        <v>429</v>
      </c>
      <c r="D305" s="8" t="s">
        <v>430</v>
      </c>
      <c r="G305" s="8" t="b">
        <v>0</v>
      </c>
      <c r="L305" s="7" t="s">
        <v>1481</v>
      </c>
    </row>
    <row r="306" spans="1:12" ht="15.75" customHeight="1">
      <c r="A306" s="8">
        <v>3008000001</v>
      </c>
      <c r="B306" s="8">
        <v>3008000001</v>
      </c>
      <c r="C306" s="8" t="s">
        <v>431</v>
      </c>
      <c r="D306" s="8" t="s">
        <v>408</v>
      </c>
      <c r="G306" s="8" t="b">
        <v>0</v>
      </c>
      <c r="L306" s="7" t="s">
        <v>1481</v>
      </c>
    </row>
    <row r="307" spans="1:12" ht="15.75" customHeight="1">
      <c r="A307" s="8">
        <v>5122000000</v>
      </c>
      <c r="B307" s="8">
        <v>5122000000</v>
      </c>
      <c r="C307" s="8" t="s">
        <v>432</v>
      </c>
      <c r="D307" s="8" t="s">
        <v>433</v>
      </c>
      <c r="G307" s="8" t="b">
        <v>0</v>
      </c>
      <c r="L307" s="7" t="s">
        <v>1481</v>
      </c>
    </row>
    <row r="308" spans="1:12" ht="15.75" customHeight="1">
      <c r="A308" s="8">
        <v>5199000000</v>
      </c>
      <c r="B308" s="8">
        <v>5199000000</v>
      </c>
      <c r="C308" s="8" t="s">
        <v>434</v>
      </c>
      <c r="D308" s="8" t="s">
        <v>433</v>
      </c>
      <c r="G308" s="8" t="b">
        <v>0</v>
      </c>
      <c r="L308" s="7" t="s">
        <v>1481</v>
      </c>
    </row>
    <row r="309" spans="1:12" ht="15.75" customHeight="1">
      <c r="A309" s="8">
        <v>5299000000</v>
      </c>
      <c r="B309" s="8">
        <v>5299000000</v>
      </c>
      <c r="C309" s="8" t="s">
        <v>435</v>
      </c>
      <c r="D309" s="8" t="s">
        <v>433</v>
      </c>
      <c r="G309" s="8" t="b">
        <v>0</v>
      </c>
      <c r="L309" s="7" t="s">
        <v>1481</v>
      </c>
    </row>
    <row r="310" spans="1:12" ht="15.75" customHeight="1">
      <c r="A310" s="8">
        <v>5399000000</v>
      </c>
      <c r="B310" s="8">
        <v>5399000000</v>
      </c>
      <c r="C310" s="8" t="s">
        <v>436</v>
      </c>
      <c r="D310" s="8" t="s">
        <v>433</v>
      </c>
      <c r="G310" s="8" t="b">
        <v>0</v>
      </c>
      <c r="L310" s="7" t="s">
        <v>1481</v>
      </c>
    </row>
    <row r="311" spans="1:12" ht="15.75" customHeight="1">
      <c r="A311" s="8">
        <v>5501000000</v>
      </c>
      <c r="B311" s="8">
        <v>5501000000</v>
      </c>
      <c r="C311" s="8" t="s">
        <v>437</v>
      </c>
      <c r="D311" s="8" t="s">
        <v>433</v>
      </c>
      <c r="G311" s="8" t="b">
        <v>0</v>
      </c>
      <c r="L311" s="7" t="s">
        <v>1481</v>
      </c>
    </row>
    <row r="312" spans="1:12" ht="15.75" customHeight="1">
      <c r="A312" s="8">
        <v>5502000000</v>
      </c>
      <c r="B312" s="8">
        <v>5502000000</v>
      </c>
      <c r="C312" s="8" t="s">
        <v>438</v>
      </c>
      <c r="D312" s="8" t="s">
        <v>433</v>
      </c>
      <c r="G312" s="8" t="b">
        <v>0</v>
      </c>
      <c r="L312" s="7" t="s">
        <v>1481</v>
      </c>
    </row>
    <row r="313" spans="1:12" ht="15.75" customHeight="1">
      <c r="A313" s="8">
        <v>6122000000</v>
      </c>
      <c r="B313" s="8">
        <v>6122000000</v>
      </c>
      <c r="C313" s="8" t="s">
        <v>439</v>
      </c>
      <c r="D313" s="8" t="s">
        <v>433</v>
      </c>
      <c r="G313" s="8" t="b">
        <v>0</v>
      </c>
      <c r="L313" s="7" t="s">
        <v>1481</v>
      </c>
    </row>
    <row r="314" spans="1:12" ht="15.75" customHeight="1">
      <c r="A314" s="8">
        <v>6199000000</v>
      </c>
      <c r="B314" s="8">
        <v>6199000000</v>
      </c>
      <c r="C314" s="8" t="s">
        <v>440</v>
      </c>
      <c r="D314" s="8" t="s">
        <v>433</v>
      </c>
      <c r="G314" s="8" t="b">
        <v>0</v>
      </c>
      <c r="L314" s="7" t="s">
        <v>1481</v>
      </c>
    </row>
    <row r="315" spans="1:12" ht="15.75" customHeight="1">
      <c r="A315" s="8">
        <v>6200000001</v>
      </c>
      <c r="B315" s="8">
        <v>6200000001</v>
      </c>
      <c r="C315" s="8" t="s">
        <v>441</v>
      </c>
      <c r="D315" s="8" t="s">
        <v>442</v>
      </c>
      <c r="G315" s="8" t="b">
        <v>0</v>
      </c>
      <c r="L315" s="7" t="s">
        <v>1481</v>
      </c>
    </row>
    <row r="316" spans="1:12" ht="15.75" customHeight="1">
      <c r="A316" s="8">
        <v>6200000002</v>
      </c>
      <c r="B316" s="8">
        <v>6200000002</v>
      </c>
      <c r="C316" s="8" t="s">
        <v>443</v>
      </c>
      <c r="D316" s="8" t="s">
        <v>442</v>
      </c>
      <c r="G316" s="8" t="b">
        <v>0</v>
      </c>
      <c r="L316" s="7" t="s">
        <v>1481</v>
      </c>
    </row>
    <row r="317" spans="1:12" ht="15.75" customHeight="1">
      <c r="A317" s="8">
        <v>6300000001</v>
      </c>
      <c r="B317" s="8">
        <v>6300000001</v>
      </c>
      <c r="C317" s="8" t="s">
        <v>444</v>
      </c>
      <c r="D317" s="8" t="s">
        <v>442</v>
      </c>
      <c r="G317" s="8" t="b">
        <v>0</v>
      </c>
      <c r="L317" s="7" t="s">
        <v>1481</v>
      </c>
    </row>
    <row r="318" spans="1:12" ht="15.75" customHeight="1">
      <c r="A318" s="8">
        <v>6400000001</v>
      </c>
      <c r="B318" s="8">
        <v>6400000001</v>
      </c>
      <c r="C318" s="8" t="s">
        <v>445</v>
      </c>
      <c r="D318" s="8" t="s">
        <v>442</v>
      </c>
      <c r="G318" s="8" t="b">
        <v>0</v>
      </c>
      <c r="L318" s="7" t="s">
        <v>1481</v>
      </c>
    </row>
    <row r="319" spans="1:12" ht="15.75" customHeight="1">
      <c r="A319" s="8">
        <v>6501000001</v>
      </c>
      <c r="B319" s="8">
        <v>6501000001</v>
      </c>
      <c r="C319" s="8" t="s">
        <v>446</v>
      </c>
      <c r="D319" s="8" t="s">
        <v>442</v>
      </c>
      <c r="G319" s="8" t="b">
        <v>0</v>
      </c>
      <c r="L319" s="7" t="s">
        <v>1481</v>
      </c>
    </row>
    <row r="320" spans="1:12" ht="15.75" customHeight="1">
      <c r="A320" s="8">
        <v>6501000002</v>
      </c>
      <c r="B320" s="8">
        <v>6501000002</v>
      </c>
      <c r="C320" s="8" t="s">
        <v>447</v>
      </c>
      <c r="D320" s="8" t="s">
        <v>442</v>
      </c>
      <c r="G320" s="8" t="b">
        <v>0</v>
      </c>
      <c r="L320" s="7" t="s">
        <v>1481</v>
      </c>
    </row>
    <row r="321" spans="1:12" ht="15.75" customHeight="1">
      <c r="A321" s="8">
        <v>6501000003</v>
      </c>
      <c r="B321" s="8">
        <v>6501000003</v>
      </c>
      <c r="C321" s="8" t="s">
        <v>448</v>
      </c>
      <c r="D321" s="8" t="s">
        <v>442</v>
      </c>
      <c r="G321" s="8" t="b">
        <v>0</v>
      </c>
      <c r="L321" s="7" t="s">
        <v>1481</v>
      </c>
    </row>
    <row r="322" spans="1:12" ht="15.75" customHeight="1">
      <c r="A322" s="8">
        <v>6502000001</v>
      </c>
      <c r="B322" s="8">
        <v>6502000001</v>
      </c>
      <c r="C322" s="8" t="s">
        <v>449</v>
      </c>
      <c r="D322" s="8" t="s">
        <v>442</v>
      </c>
      <c r="G322" s="8" t="b">
        <v>0</v>
      </c>
      <c r="L322" s="7" t="s">
        <v>1481</v>
      </c>
    </row>
    <row r="323" spans="1:12" ht="15.75" customHeight="1">
      <c r="A323" s="8">
        <v>6502000002</v>
      </c>
      <c r="B323" s="8">
        <v>6502000002</v>
      </c>
      <c r="C323" s="8" t="s">
        <v>450</v>
      </c>
      <c r="D323" s="8" t="s">
        <v>442</v>
      </c>
      <c r="G323" s="8" t="b">
        <v>0</v>
      </c>
      <c r="L323" s="7" t="s">
        <v>1481</v>
      </c>
    </row>
    <row r="324" spans="1:12" ht="15.75" customHeight="1">
      <c r="A324" s="8">
        <v>6502000003</v>
      </c>
      <c r="B324" s="8">
        <v>6502000003</v>
      </c>
      <c r="C324" s="8" t="s">
        <v>451</v>
      </c>
      <c r="D324" s="8" t="s">
        <v>442</v>
      </c>
      <c r="G324" s="8" t="b">
        <v>0</v>
      </c>
      <c r="L324" s="7" t="s">
        <v>1481</v>
      </c>
    </row>
    <row r="325" spans="1:12" ht="15.75" customHeight="1">
      <c r="A325" s="8">
        <v>6600000001</v>
      </c>
      <c r="B325" s="8">
        <v>6600000001</v>
      </c>
      <c r="C325" s="8" t="s">
        <v>452</v>
      </c>
      <c r="D325" s="8" t="s">
        <v>442</v>
      </c>
      <c r="G325" s="8" t="b">
        <v>0</v>
      </c>
      <c r="L325" s="7" t="s">
        <v>1481</v>
      </c>
    </row>
    <row r="326" spans="1:12" ht="15.75" customHeight="1">
      <c r="A326" s="8">
        <v>6600000002</v>
      </c>
      <c r="B326" s="8">
        <v>6600000002</v>
      </c>
      <c r="C326" s="8" t="s">
        <v>453</v>
      </c>
      <c r="D326" s="8" t="s">
        <v>442</v>
      </c>
      <c r="G326" s="8" t="b">
        <v>0</v>
      </c>
      <c r="L326" s="7" t="s">
        <v>1481</v>
      </c>
    </row>
    <row r="327" spans="1:12" ht="15.75" customHeight="1">
      <c r="A327" s="8">
        <v>6600000003</v>
      </c>
      <c r="B327" s="8">
        <v>6600000003</v>
      </c>
      <c r="C327" s="8" t="s">
        <v>454</v>
      </c>
      <c r="D327" s="8" t="s">
        <v>442</v>
      </c>
      <c r="G327" s="8" t="b">
        <v>0</v>
      </c>
      <c r="L327" s="7" t="s">
        <v>1481</v>
      </c>
    </row>
    <row r="328" spans="1:12" ht="15.75" customHeight="1">
      <c r="A328" s="8">
        <v>6600000004</v>
      </c>
      <c r="B328" s="8">
        <v>6600000004</v>
      </c>
      <c r="C328" s="8" t="s">
        <v>455</v>
      </c>
      <c r="D328" s="8" t="s">
        <v>442</v>
      </c>
      <c r="G328" s="8" t="b">
        <v>0</v>
      </c>
      <c r="L328" s="7" t="s">
        <v>1481</v>
      </c>
    </row>
    <row r="329" spans="1:12" ht="15.75" customHeight="1">
      <c r="A329" s="8">
        <v>6700000001</v>
      </c>
      <c r="B329" s="8">
        <v>6700000001</v>
      </c>
      <c r="C329" s="8" t="s">
        <v>456</v>
      </c>
      <c r="D329" s="8" t="s">
        <v>442</v>
      </c>
      <c r="G329" s="8" t="b">
        <v>0</v>
      </c>
      <c r="L329" s="7" t="s">
        <v>1481</v>
      </c>
    </row>
    <row r="330" spans="1:12" ht="15.75" customHeight="1">
      <c r="A330" s="8">
        <v>6799000000</v>
      </c>
      <c r="B330" s="8">
        <v>6799000000</v>
      </c>
      <c r="C330" s="8" t="s">
        <v>457</v>
      </c>
      <c r="D330" s="8" t="s">
        <v>442</v>
      </c>
      <c r="G330" s="8" t="b">
        <v>0</v>
      </c>
      <c r="L330" s="7" t="s">
        <v>1481</v>
      </c>
    </row>
    <row r="331" spans="1:12" ht="15.75" customHeight="1">
      <c r="A331" s="8">
        <v>6800000001</v>
      </c>
      <c r="B331" s="8">
        <v>6800000001</v>
      </c>
      <c r="C331" s="8" t="s">
        <v>458</v>
      </c>
      <c r="D331" s="8" t="s">
        <v>442</v>
      </c>
      <c r="G331" s="8" t="b">
        <v>0</v>
      </c>
      <c r="L331" s="7" t="s">
        <v>1481</v>
      </c>
    </row>
    <row r="332" spans="1:12" ht="15.75" customHeight="1">
      <c r="A332" s="8">
        <v>6800000002</v>
      </c>
      <c r="B332" s="8">
        <v>6800000002</v>
      </c>
      <c r="C332" s="8" t="s">
        <v>459</v>
      </c>
      <c r="D332" s="8" t="s">
        <v>442</v>
      </c>
      <c r="G332" s="8" t="b">
        <v>0</v>
      </c>
      <c r="L332" s="7" t="s">
        <v>1481</v>
      </c>
    </row>
    <row r="333" spans="1:12" ht="15.75" customHeight="1">
      <c r="A333" s="8">
        <v>6900000001</v>
      </c>
      <c r="B333" s="8">
        <v>6900000001</v>
      </c>
      <c r="C333" s="8" t="s">
        <v>460</v>
      </c>
      <c r="D333" s="8" t="s">
        <v>442</v>
      </c>
      <c r="G333" s="8" t="b">
        <v>0</v>
      </c>
      <c r="L333" s="7" t="s">
        <v>1481</v>
      </c>
    </row>
    <row r="334" spans="1:12" ht="15.75" customHeight="1">
      <c r="A334" s="8">
        <v>6999000000</v>
      </c>
      <c r="B334" s="8">
        <v>6999000000</v>
      </c>
      <c r="C334" s="8" t="s">
        <v>461</v>
      </c>
      <c r="D334" s="8" t="s">
        <v>442</v>
      </c>
      <c r="G334" s="8" t="b">
        <v>0</v>
      </c>
      <c r="L334" s="7" t="s">
        <v>1481</v>
      </c>
    </row>
    <row r="335" spans="1:12" ht="15.75" customHeight="1">
      <c r="A335" s="8">
        <v>7101001000</v>
      </c>
      <c r="B335" s="8">
        <v>7101001000</v>
      </c>
      <c r="C335" s="8" t="s">
        <v>462</v>
      </c>
      <c r="D335" s="8" t="s">
        <v>463</v>
      </c>
      <c r="G335" s="8" t="b">
        <v>0</v>
      </c>
      <c r="L335" s="7" t="s">
        <v>1481</v>
      </c>
    </row>
    <row r="336" spans="1:12" ht="15.75" customHeight="1">
      <c r="A336" s="8">
        <v>7101002000</v>
      </c>
      <c r="B336" s="8">
        <v>7101002000</v>
      </c>
      <c r="C336" s="8" t="s">
        <v>464</v>
      </c>
      <c r="D336" s="8" t="s">
        <v>463</v>
      </c>
      <c r="G336" s="8" t="b">
        <v>0</v>
      </c>
      <c r="L336" s="7" t="s">
        <v>1481</v>
      </c>
    </row>
    <row r="337" spans="1:12" ht="15.75" customHeight="1">
      <c r="A337" s="8">
        <v>7101003000</v>
      </c>
      <c r="B337" s="8">
        <v>7101003000</v>
      </c>
      <c r="C337" s="8" t="s">
        <v>465</v>
      </c>
      <c r="D337" s="8" t="s">
        <v>463</v>
      </c>
      <c r="G337" s="8" t="b">
        <v>0</v>
      </c>
      <c r="L337" s="7" t="s">
        <v>1481</v>
      </c>
    </row>
    <row r="338" spans="1:12" ht="15.75" customHeight="1">
      <c r="A338" s="8">
        <v>7101004000</v>
      </c>
      <c r="B338" s="8">
        <v>7101004000</v>
      </c>
      <c r="C338" s="8" t="s">
        <v>466</v>
      </c>
      <c r="D338" s="8" t="s">
        <v>463</v>
      </c>
      <c r="G338" s="8" t="b">
        <v>0</v>
      </c>
      <c r="L338" s="7" t="s">
        <v>1481</v>
      </c>
    </row>
    <row r="339" spans="1:12" ht="15.75" customHeight="1">
      <c r="A339" s="8">
        <v>7101005000</v>
      </c>
      <c r="B339" s="8">
        <v>7101005000</v>
      </c>
      <c r="C339" s="8" t="s">
        <v>467</v>
      </c>
      <c r="D339" s="8" t="s">
        <v>463</v>
      </c>
      <c r="G339" s="8" t="b">
        <v>0</v>
      </c>
      <c r="L339" s="7" t="s">
        <v>1481</v>
      </c>
    </row>
    <row r="340" spans="1:12" ht="15.75" customHeight="1">
      <c r="A340" s="8">
        <v>7101006000</v>
      </c>
      <c r="B340" s="8">
        <v>7101006000</v>
      </c>
      <c r="C340" s="8" t="s">
        <v>468</v>
      </c>
      <c r="D340" s="8" t="s">
        <v>463</v>
      </c>
      <c r="G340" s="8" t="b">
        <v>0</v>
      </c>
      <c r="L340" s="7" t="s">
        <v>1481</v>
      </c>
    </row>
    <row r="341" spans="1:12" ht="15.75" customHeight="1">
      <c r="A341" s="8">
        <v>7101007000</v>
      </c>
      <c r="B341" s="8">
        <v>7101007000</v>
      </c>
      <c r="C341" s="8" t="s">
        <v>469</v>
      </c>
      <c r="D341" s="8" t="s">
        <v>463</v>
      </c>
      <c r="G341" s="8" t="b">
        <v>0</v>
      </c>
      <c r="L341" s="7" t="s">
        <v>1481</v>
      </c>
    </row>
    <row r="342" spans="1:12" ht="15.75" customHeight="1">
      <c r="A342" s="8">
        <v>7101008000</v>
      </c>
      <c r="B342" s="8">
        <v>7101008000</v>
      </c>
      <c r="C342" s="8" t="s">
        <v>470</v>
      </c>
      <c r="D342" s="8" t="s">
        <v>463</v>
      </c>
      <c r="G342" s="8" t="b">
        <v>0</v>
      </c>
      <c r="L342" s="7" t="s">
        <v>1481</v>
      </c>
    </row>
    <row r="343" spans="1:12" ht="15.75" customHeight="1">
      <c r="A343" s="8">
        <v>7101009000</v>
      </c>
      <c r="B343" s="8">
        <v>7101009000</v>
      </c>
      <c r="C343" s="8" t="s">
        <v>471</v>
      </c>
      <c r="D343" s="8" t="s">
        <v>463</v>
      </c>
      <c r="G343" s="8" t="b">
        <v>0</v>
      </c>
      <c r="L343" s="7" t="s">
        <v>1481</v>
      </c>
    </row>
    <row r="344" spans="1:12" ht="15.75" customHeight="1">
      <c r="A344" s="8">
        <v>7101010000</v>
      </c>
      <c r="B344" s="8">
        <v>7101010000</v>
      </c>
      <c r="C344" s="8" t="s">
        <v>472</v>
      </c>
      <c r="D344" s="8" t="s">
        <v>463</v>
      </c>
      <c r="G344" s="8" t="b">
        <v>0</v>
      </c>
      <c r="L344" s="7" t="s">
        <v>1481</v>
      </c>
    </row>
    <row r="345" spans="1:12" ht="15.75" customHeight="1">
      <c r="A345" s="8">
        <v>7101011000</v>
      </c>
      <c r="B345" s="8">
        <v>7101011000</v>
      </c>
      <c r="C345" s="8" t="s">
        <v>473</v>
      </c>
      <c r="D345" s="8" t="s">
        <v>463</v>
      </c>
      <c r="G345" s="8" t="b">
        <v>0</v>
      </c>
      <c r="L345" s="7" t="s">
        <v>1481</v>
      </c>
    </row>
    <row r="346" spans="1:12" ht="15.75" customHeight="1">
      <c r="A346" s="8">
        <v>7101012000</v>
      </c>
      <c r="B346" s="8">
        <v>7101012000</v>
      </c>
      <c r="C346" s="8" t="s">
        <v>474</v>
      </c>
      <c r="D346" s="8" t="s">
        <v>463</v>
      </c>
      <c r="G346" s="8" t="b">
        <v>0</v>
      </c>
      <c r="L346" s="7" t="s">
        <v>1481</v>
      </c>
    </row>
    <row r="347" spans="1:12" ht="15.75" customHeight="1">
      <c r="A347" s="8">
        <v>7101013000</v>
      </c>
      <c r="B347" s="8">
        <v>7101013000</v>
      </c>
      <c r="C347" s="8" t="s">
        <v>475</v>
      </c>
      <c r="D347" s="8" t="s">
        <v>463</v>
      </c>
      <c r="G347" s="8" t="b">
        <v>0</v>
      </c>
      <c r="L347" s="7" t="s">
        <v>1481</v>
      </c>
    </row>
    <row r="348" spans="1:12" ht="15.75" customHeight="1">
      <c r="A348" s="8">
        <v>7102001000</v>
      </c>
      <c r="B348" s="8">
        <v>7102001000</v>
      </c>
      <c r="C348" s="8" t="s">
        <v>476</v>
      </c>
      <c r="D348" s="8" t="s">
        <v>463</v>
      </c>
      <c r="G348" s="8" t="b">
        <v>0</v>
      </c>
      <c r="L348" s="7" t="s">
        <v>1481</v>
      </c>
    </row>
    <row r="349" spans="1:12" ht="15.75" customHeight="1">
      <c r="A349" s="8">
        <v>7102002000</v>
      </c>
      <c r="B349" s="8">
        <v>7102002000</v>
      </c>
      <c r="C349" s="8" t="s">
        <v>477</v>
      </c>
      <c r="D349" s="8" t="s">
        <v>463</v>
      </c>
      <c r="G349" s="8" t="b">
        <v>0</v>
      </c>
      <c r="L349" s="7" t="s">
        <v>1481</v>
      </c>
    </row>
    <row r="350" spans="1:12" ht="15.75" customHeight="1">
      <c r="A350" s="8">
        <v>7102003000</v>
      </c>
      <c r="B350" s="8">
        <v>7102003000</v>
      </c>
      <c r="C350" s="8" t="s">
        <v>478</v>
      </c>
      <c r="D350" s="8" t="s">
        <v>463</v>
      </c>
      <c r="G350" s="8" t="b">
        <v>0</v>
      </c>
      <c r="L350" s="7" t="s">
        <v>1481</v>
      </c>
    </row>
    <row r="351" spans="1:12" ht="15.75" customHeight="1">
      <c r="A351" s="8">
        <v>7102004000</v>
      </c>
      <c r="B351" s="8">
        <v>7102004000</v>
      </c>
      <c r="C351" s="8" t="s">
        <v>479</v>
      </c>
      <c r="D351" s="8" t="s">
        <v>463</v>
      </c>
      <c r="G351" s="8" t="b">
        <v>0</v>
      </c>
      <c r="L351" s="7" t="s">
        <v>1481</v>
      </c>
    </row>
    <row r="352" spans="1:12" ht="15.75" customHeight="1">
      <c r="A352" s="8">
        <v>7102005000</v>
      </c>
      <c r="B352" s="8">
        <v>7102005000</v>
      </c>
      <c r="C352" s="8" t="s">
        <v>480</v>
      </c>
      <c r="D352" s="8" t="s">
        <v>463</v>
      </c>
      <c r="G352" s="8" t="b">
        <v>0</v>
      </c>
      <c r="L352" s="7" t="s">
        <v>1481</v>
      </c>
    </row>
    <row r="353" spans="1:12" ht="15.75" customHeight="1">
      <c r="A353" s="8">
        <v>7102006000</v>
      </c>
      <c r="B353" s="8">
        <v>7102006000</v>
      </c>
      <c r="C353" s="8" t="s">
        <v>481</v>
      </c>
      <c r="D353" s="8" t="s">
        <v>463</v>
      </c>
      <c r="G353" s="8" t="b">
        <v>0</v>
      </c>
      <c r="L353" s="7" t="s">
        <v>1481</v>
      </c>
    </row>
    <row r="354" spans="1:12" ht="15.75" customHeight="1">
      <c r="A354" s="8">
        <v>7102007000</v>
      </c>
      <c r="B354" s="8">
        <v>7102007000</v>
      </c>
      <c r="C354" s="8" t="s">
        <v>482</v>
      </c>
      <c r="D354" s="8" t="s">
        <v>463</v>
      </c>
      <c r="G354" s="8" t="b">
        <v>0</v>
      </c>
      <c r="L354" s="7" t="s">
        <v>1481</v>
      </c>
    </row>
    <row r="355" spans="1:12" ht="15.75" customHeight="1">
      <c r="A355" s="8">
        <v>7102008000</v>
      </c>
      <c r="B355" s="8">
        <v>7102008000</v>
      </c>
      <c r="C355" s="8" t="s">
        <v>483</v>
      </c>
      <c r="D355" s="8" t="s">
        <v>463</v>
      </c>
      <c r="G355" s="8" t="b">
        <v>0</v>
      </c>
      <c r="L355" s="7" t="s">
        <v>1481</v>
      </c>
    </row>
    <row r="356" spans="1:12" ht="15.75" customHeight="1">
      <c r="A356" s="8">
        <v>7102009000</v>
      </c>
      <c r="B356" s="8">
        <v>7102009000</v>
      </c>
      <c r="C356" s="8" t="s">
        <v>484</v>
      </c>
      <c r="D356" s="8" t="s">
        <v>463</v>
      </c>
      <c r="G356" s="8" t="b">
        <v>0</v>
      </c>
      <c r="L356" s="7" t="s">
        <v>1481</v>
      </c>
    </row>
    <row r="357" spans="1:12" ht="15.75" customHeight="1">
      <c r="A357" s="8">
        <v>7102010000</v>
      </c>
      <c r="B357" s="8">
        <v>7102010000</v>
      </c>
      <c r="C357" s="8" t="s">
        <v>485</v>
      </c>
      <c r="D357" s="8" t="s">
        <v>463</v>
      </c>
      <c r="G357" s="8" t="b">
        <v>0</v>
      </c>
      <c r="L357" s="7" t="s">
        <v>1481</v>
      </c>
    </row>
    <row r="358" spans="1:12" ht="15.75" customHeight="1">
      <c r="A358" s="8">
        <v>7102011000</v>
      </c>
      <c r="B358" s="8">
        <v>7102011000</v>
      </c>
      <c r="C358" s="8" t="s">
        <v>486</v>
      </c>
      <c r="D358" s="8" t="s">
        <v>463</v>
      </c>
      <c r="G358" s="8" t="b">
        <v>0</v>
      </c>
      <c r="L358" s="7" t="s">
        <v>1481</v>
      </c>
    </row>
    <row r="359" spans="1:12" ht="15.75" customHeight="1">
      <c r="A359" s="8">
        <v>7102012000</v>
      </c>
      <c r="B359" s="8">
        <v>7102012000</v>
      </c>
      <c r="C359" s="8" t="s">
        <v>487</v>
      </c>
      <c r="D359" s="8" t="s">
        <v>463</v>
      </c>
      <c r="G359" s="8" t="b">
        <v>0</v>
      </c>
      <c r="L359" s="7" t="s">
        <v>1481</v>
      </c>
    </row>
    <row r="360" spans="1:12" ht="15.75" customHeight="1">
      <c r="A360" s="8">
        <v>7102013000</v>
      </c>
      <c r="B360" s="8">
        <v>7102013000</v>
      </c>
      <c r="C360" s="8" t="s">
        <v>488</v>
      </c>
      <c r="D360" s="8" t="s">
        <v>463</v>
      </c>
      <c r="G360" s="8" t="b">
        <v>0</v>
      </c>
      <c r="L360" s="7" t="s">
        <v>1481</v>
      </c>
    </row>
    <row r="361" spans="1:12" ht="15.75" customHeight="1">
      <c r="A361" s="8">
        <v>7102014000</v>
      </c>
      <c r="B361" s="8">
        <v>7102014000</v>
      </c>
      <c r="C361" s="8" t="s">
        <v>489</v>
      </c>
      <c r="D361" s="8" t="s">
        <v>463</v>
      </c>
      <c r="G361" s="8" t="b">
        <v>0</v>
      </c>
      <c r="L361" s="7" t="s">
        <v>1481</v>
      </c>
    </row>
    <row r="362" spans="1:12" ht="15.75" customHeight="1">
      <c r="A362" s="8">
        <v>7103001000</v>
      </c>
      <c r="B362" s="8">
        <v>7103001000</v>
      </c>
      <c r="C362" s="8" t="s">
        <v>490</v>
      </c>
      <c r="D362" s="8" t="s">
        <v>463</v>
      </c>
      <c r="G362" s="8" t="b">
        <v>0</v>
      </c>
      <c r="L362" s="7" t="s">
        <v>1481</v>
      </c>
    </row>
    <row r="363" spans="1:12" ht="15.75" customHeight="1">
      <c r="A363" s="8">
        <v>7103002000</v>
      </c>
      <c r="B363" s="8">
        <v>7103002000</v>
      </c>
      <c r="C363" s="8" t="s">
        <v>491</v>
      </c>
      <c r="D363" s="8" t="s">
        <v>463</v>
      </c>
      <c r="G363" s="8" t="b">
        <v>0</v>
      </c>
      <c r="L363" s="7" t="s">
        <v>1481</v>
      </c>
    </row>
    <row r="364" spans="1:12" ht="15.75" customHeight="1">
      <c r="A364" s="8">
        <v>7103003000</v>
      </c>
      <c r="B364" s="8">
        <v>7103003000</v>
      </c>
      <c r="C364" s="8" t="s">
        <v>492</v>
      </c>
      <c r="D364" s="8" t="s">
        <v>463</v>
      </c>
      <c r="G364" s="8" t="b">
        <v>0</v>
      </c>
      <c r="L364" s="7" t="s">
        <v>1481</v>
      </c>
    </row>
    <row r="365" spans="1:12" ht="15.75" customHeight="1">
      <c r="A365" s="8">
        <v>7103004000</v>
      </c>
      <c r="B365" s="8">
        <v>7103004000</v>
      </c>
      <c r="C365" s="8" t="s">
        <v>493</v>
      </c>
      <c r="D365" s="8" t="s">
        <v>463</v>
      </c>
      <c r="G365" s="8" t="b">
        <v>0</v>
      </c>
      <c r="L365" s="7" t="s">
        <v>1481</v>
      </c>
    </row>
    <row r="366" spans="1:12" ht="15.75" customHeight="1">
      <c r="A366" s="8">
        <v>7103005000</v>
      </c>
      <c r="B366" s="8">
        <v>7103005000</v>
      </c>
      <c r="C366" s="8" t="s">
        <v>494</v>
      </c>
      <c r="D366" s="8" t="s">
        <v>463</v>
      </c>
      <c r="G366" s="8" t="b">
        <v>0</v>
      </c>
      <c r="L366" s="7" t="s">
        <v>1481</v>
      </c>
    </row>
    <row r="367" spans="1:12" ht="15.75" customHeight="1">
      <c r="A367" s="8">
        <v>7104000001</v>
      </c>
      <c r="B367" s="8">
        <v>7104000001</v>
      </c>
      <c r="C367" s="8" t="s">
        <v>495</v>
      </c>
      <c r="D367" s="8" t="s">
        <v>463</v>
      </c>
      <c r="G367" s="8" t="b">
        <v>0</v>
      </c>
      <c r="L367" s="7" t="s">
        <v>1481</v>
      </c>
    </row>
    <row r="368" spans="1:12" ht="15.75" customHeight="1">
      <c r="A368" s="8">
        <v>7104000002</v>
      </c>
      <c r="B368" s="8">
        <v>7104000002</v>
      </c>
      <c r="C368" s="8" t="s">
        <v>496</v>
      </c>
      <c r="D368" s="8" t="s">
        <v>463</v>
      </c>
      <c r="G368" s="8" t="b">
        <v>0</v>
      </c>
      <c r="L368" s="7" t="s">
        <v>1481</v>
      </c>
    </row>
    <row r="369" spans="1:12" ht="15.75" customHeight="1">
      <c r="A369" s="8">
        <v>7104000003</v>
      </c>
      <c r="B369" s="8">
        <v>7104000003</v>
      </c>
      <c r="C369" s="8" t="s">
        <v>497</v>
      </c>
      <c r="D369" s="8" t="s">
        <v>463</v>
      </c>
      <c r="G369" s="8" t="b">
        <v>0</v>
      </c>
      <c r="L369" s="7" t="s">
        <v>1481</v>
      </c>
    </row>
    <row r="370" spans="1:12" ht="15.75" customHeight="1">
      <c r="A370" s="8">
        <v>7105000001</v>
      </c>
      <c r="B370" s="8">
        <v>7105000001</v>
      </c>
      <c r="C370" s="8" t="s">
        <v>498</v>
      </c>
      <c r="D370" s="8" t="s">
        <v>463</v>
      </c>
      <c r="G370" s="8" t="b">
        <v>0</v>
      </c>
      <c r="L370" s="7" t="s">
        <v>1481</v>
      </c>
    </row>
    <row r="371" spans="1:12" ht="15.75" customHeight="1">
      <c r="A371" s="8">
        <v>7106001000</v>
      </c>
      <c r="B371" s="8">
        <v>7106001000</v>
      </c>
      <c r="C371" s="8" t="s">
        <v>499</v>
      </c>
      <c r="D371" s="8" t="s">
        <v>463</v>
      </c>
      <c r="G371" s="8" t="b">
        <v>0</v>
      </c>
      <c r="L371" s="7" t="s">
        <v>1481</v>
      </c>
    </row>
    <row r="372" spans="1:12" ht="15.75" customHeight="1">
      <c r="A372" s="8">
        <v>7106002000</v>
      </c>
      <c r="B372" s="8">
        <v>7106002000</v>
      </c>
      <c r="C372" s="8" t="s">
        <v>500</v>
      </c>
      <c r="D372" s="8" t="s">
        <v>463</v>
      </c>
      <c r="G372" s="8" t="b">
        <v>0</v>
      </c>
      <c r="L372" s="7" t="s">
        <v>1481</v>
      </c>
    </row>
    <row r="373" spans="1:12" ht="15.75" customHeight="1">
      <c r="A373" s="8">
        <v>7106003000</v>
      </c>
      <c r="B373" s="8">
        <v>7106003000</v>
      </c>
      <c r="C373" s="8" t="s">
        <v>501</v>
      </c>
      <c r="D373" s="8" t="s">
        <v>463</v>
      </c>
      <c r="G373" s="8" t="b">
        <v>0</v>
      </c>
      <c r="L373" s="7" t="s">
        <v>1481</v>
      </c>
    </row>
    <row r="374" spans="1:12" ht="15.75" customHeight="1">
      <c r="A374" s="8">
        <v>7106004000</v>
      </c>
      <c r="B374" s="8">
        <v>7106004000</v>
      </c>
      <c r="C374" s="8" t="s">
        <v>502</v>
      </c>
      <c r="D374" s="8" t="s">
        <v>463</v>
      </c>
      <c r="G374" s="8" t="b">
        <v>0</v>
      </c>
      <c r="L374" s="7" t="s">
        <v>1481</v>
      </c>
    </row>
    <row r="375" spans="1:12" ht="15.75" customHeight="1">
      <c r="A375" s="8">
        <v>7107000001</v>
      </c>
      <c r="B375" s="8">
        <v>7107000001</v>
      </c>
      <c r="C375" s="8" t="s">
        <v>503</v>
      </c>
      <c r="D375" s="8" t="s">
        <v>463</v>
      </c>
      <c r="G375" s="8" t="b">
        <v>0</v>
      </c>
      <c r="L375" s="7" t="s">
        <v>1481</v>
      </c>
    </row>
    <row r="376" spans="1:12" ht="15.75" customHeight="1">
      <c r="A376" s="8">
        <v>7108001000</v>
      </c>
      <c r="B376" s="8">
        <v>7108001000</v>
      </c>
      <c r="C376" s="8" t="s">
        <v>504</v>
      </c>
      <c r="D376" s="8" t="s">
        <v>463</v>
      </c>
      <c r="G376" s="8" t="b">
        <v>0</v>
      </c>
      <c r="L376" s="7" t="s">
        <v>1481</v>
      </c>
    </row>
    <row r="377" spans="1:12" ht="15.75" customHeight="1">
      <c r="A377" s="8">
        <v>7108002000</v>
      </c>
      <c r="B377" s="8">
        <v>7108002000</v>
      </c>
      <c r="C377" s="8" t="s">
        <v>505</v>
      </c>
      <c r="D377" s="8" t="s">
        <v>463</v>
      </c>
      <c r="G377" s="8" t="b">
        <v>0</v>
      </c>
      <c r="L377" s="7" t="s">
        <v>1481</v>
      </c>
    </row>
    <row r="378" spans="1:12" ht="15.75" customHeight="1">
      <c r="A378" s="8">
        <v>7108003000</v>
      </c>
      <c r="B378" s="8">
        <v>7108003000</v>
      </c>
      <c r="C378" s="8" t="s">
        <v>506</v>
      </c>
      <c r="D378" s="8" t="s">
        <v>463</v>
      </c>
      <c r="G378" s="8" t="b">
        <v>0</v>
      </c>
      <c r="L378" s="7" t="s">
        <v>1481</v>
      </c>
    </row>
    <row r="379" spans="1:12" ht="15.75" customHeight="1">
      <c r="A379" s="8">
        <v>7109001000</v>
      </c>
      <c r="B379" s="8">
        <v>7109001000</v>
      </c>
      <c r="C379" s="8" t="s">
        <v>507</v>
      </c>
      <c r="D379" s="8" t="s">
        <v>463</v>
      </c>
      <c r="G379" s="8" t="b">
        <v>0</v>
      </c>
      <c r="L379" s="7" t="s">
        <v>1481</v>
      </c>
    </row>
    <row r="380" spans="1:12" ht="15.75" customHeight="1">
      <c r="A380" s="8">
        <v>7110001000</v>
      </c>
      <c r="B380" s="8">
        <v>7110001000</v>
      </c>
      <c r="C380" s="8" t="s">
        <v>508</v>
      </c>
      <c r="D380" s="8" t="s">
        <v>509</v>
      </c>
      <c r="G380" s="8" t="b">
        <v>0</v>
      </c>
      <c r="L380" s="7" t="s">
        <v>1481</v>
      </c>
    </row>
    <row r="381" spans="1:12" ht="15.75" customHeight="1">
      <c r="A381" s="8">
        <v>7110002000</v>
      </c>
      <c r="B381" s="8">
        <v>7110002000</v>
      </c>
      <c r="C381" s="8" t="s">
        <v>510</v>
      </c>
      <c r="D381" s="8" t="s">
        <v>509</v>
      </c>
      <c r="G381" s="8" t="b">
        <v>0</v>
      </c>
      <c r="L381" s="7" t="s">
        <v>1481</v>
      </c>
    </row>
    <row r="382" spans="1:12" ht="15.75" customHeight="1">
      <c r="A382" s="8">
        <v>7110099000</v>
      </c>
      <c r="B382" s="8">
        <v>7110099000</v>
      </c>
      <c r="C382" s="8" t="s">
        <v>511</v>
      </c>
      <c r="D382" s="8" t="s">
        <v>509</v>
      </c>
      <c r="G382" s="8" t="b">
        <v>0</v>
      </c>
      <c r="L382" s="7" t="s">
        <v>1481</v>
      </c>
    </row>
    <row r="383" spans="1:12" ht="15.75" customHeight="1">
      <c r="A383" s="8">
        <v>7111000001</v>
      </c>
      <c r="B383" s="8">
        <v>7111000001</v>
      </c>
      <c r="C383" s="8" t="s">
        <v>512</v>
      </c>
      <c r="D383" s="8" t="s">
        <v>463</v>
      </c>
      <c r="G383" s="8" t="b">
        <v>0</v>
      </c>
      <c r="L383" s="7" t="s">
        <v>1481</v>
      </c>
    </row>
    <row r="384" spans="1:12" ht="15.75" customHeight="1">
      <c r="A384" s="8">
        <v>7199001000</v>
      </c>
      <c r="B384" s="8">
        <v>7199001000</v>
      </c>
      <c r="C384" s="8" t="s">
        <v>513</v>
      </c>
      <c r="D384" s="8" t="s">
        <v>463</v>
      </c>
      <c r="G384" s="8" t="b">
        <v>0</v>
      </c>
      <c r="L384" s="7" t="s">
        <v>1481</v>
      </c>
    </row>
    <row r="385" spans="1:12" ht="15.75" customHeight="1">
      <c r="A385" s="8">
        <v>7199002000</v>
      </c>
      <c r="B385" s="8">
        <v>7199002000</v>
      </c>
      <c r="C385" s="8" t="s">
        <v>514</v>
      </c>
      <c r="D385" s="8" t="s">
        <v>463</v>
      </c>
      <c r="G385" s="8" t="b">
        <v>0</v>
      </c>
      <c r="L385" s="7" t="s">
        <v>1481</v>
      </c>
    </row>
    <row r="386" spans="1:12" ht="15.75" customHeight="1">
      <c r="A386" s="8">
        <v>7199003000</v>
      </c>
      <c r="B386" s="8">
        <v>7199003000</v>
      </c>
      <c r="C386" s="8" t="s">
        <v>515</v>
      </c>
      <c r="D386" s="8" t="s">
        <v>463</v>
      </c>
      <c r="G386" s="8" t="b">
        <v>0</v>
      </c>
      <c r="L386" s="7" t="s">
        <v>1481</v>
      </c>
    </row>
    <row r="387" spans="1:12" ht="15.75" customHeight="1">
      <c r="A387" s="8">
        <v>7199004000</v>
      </c>
      <c r="B387" s="8">
        <v>7199004000</v>
      </c>
      <c r="C387" s="8" t="s">
        <v>516</v>
      </c>
      <c r="D387" s="8" t="s">
        <v>463</v>
      </c>
      <c r="G387" s="8" t="b">
        <v>0</v>
      </c>
      <c r="L387" s="7" t="s">
        <v>1481</v>
      </c>
    </row>
    <row r="388" spans="1:12" ht="15.75" customHeight="1">
      <c r="A388" s="8">
        <v>7199005000</v>
      </c>
      <c r="B388" s="8">
        <v>7199005000</v>
      </c>
      <c r="C388" s="8" t="s">
        <v>517</v>
      </c>
      <c r="D388" s="8" t="s">
        <v>463</v>
      </c>
      <c r="G388" s="8" t="b">
        <v>0</v>
      </c>
      <c r="L388" s="7" t="s">
        <v>1481</v>
      </c>
    </row>
    <row r="389" spans="1:12" ht="15.75" customHeight="1">
      <c r="A389" s="8">
        <v>7199006000</v>
      </c>
      <c r="B389" s="8">
        <v>7199006000</v>
      </c>
      <c r="C389" s="8" t="s">
        <v>518</v>
      </c>
      <c r="D389" s="8" t="s">
        <v>463</v>
      </c>
      <c r="G389" s="8" t="b">
        <v>0</v>
      </c>
      <c r="L389" s="7" t="s">
        <v>1481</v>
      </c>
    </row>
    <row r="390" spans="1:12" ht="15.75" customHeight="1">
      <c r="A390" s="8">
        <v>7199007000</v>
      </c>
      <c r="B390" s="8">
        <v>7199007000</v>
      </c>
      <c r="C390" s="8" t="s">
        <v>519</v>
      </c>
      <c r="D390" s="8" t="s">
        <v>463</v>
      </c>
      <c r="G390" s="8" t="b">
        <v>0</v>
      </c>
      <c r="L390" s="7" t="s">
        <v>1481</v>
      </c>
    </row>
    <row r="391" spans="1:12" ht="15.75" customHeight="1">
      <c r="A391" s="8">
        <v>7199008000</v>
      </c>
      <c r="B391" s="8">
        <v>7199008000</v>
      </c>
      <c r="C391" s="8" t="s">
        <v>520</v>
      </c>
      <c r="D391" s="8" t="s">
        <v>463</v>
      </c>
      <c r="G391" s="8" t="b">
        <v>0</v>
      </c>
      <c r="L391" s="7" t="s">
        <v>1481</v>
      </c>
    </row>
    <row r="392" spans="1:12" ht="15.75" customHeight="1">
      <c r="A392" s="8">
        <v>7201001000</v>
      </c>
      <c r="B392" s="8">
        <v>7201001000</v>
      </c>
      <c r="C392" s="8" t="s">
        <v>521</v>
      </c>
      <c r="D392" s="8" t="s">
        <v>463</v>
      </c>
      <c r="G392" s="8" t="b">
        <v>0</v>
      </c>
      <c r="L392" s="7" t="s">
        <v>1481</v>
      </c>
    </row>
    <row r="393" spans="1:12" ht="15.75" customHeight="1">
      <c r="A393" s="8">
        <v>7201002000</v>
      </c>
      <c r="B393" s="8">
        <v>7201002000</v>
      </c>
      <c r="C393" s="8" t="s">
        <v>522</v>
      </c>
      <c r="D393" s="8" t="s">
        <v>463</v>
      </c>
      <c r="G393" s="8" t="b">
        <v>0</v>
      </c>
      <c r="L393" s="7" t="s">
        <v>1481</v>
      </c>
    </row>
    <row r="394" spans="1:12" ht="15.75" customHeight="1">
      <c r="A394" s="8">
        <v>7201003000</v>
      </c>
      <c r="B394" s="8">
        <v>7201003000</v>
      </c>
      <c r="C394" s="8" t="s">
        <v>523</v>
      </c>
      <c r="D394" s="8" t="s">
        <v>463</v>
      </c>
      <c r="G394" s="8" t="b">
        <v>0</v>
      </c>
      <c r="L394" s="7" t="s">
        <v>1481</v>
      </c>
    </row>
    <row r="395" spans="1:12" ht="15.75" customHeight="1">
      <c r="A395" s="8">
        <v>7201004000</v>
      </c>
      <c r="B395" s="8">
        <v>7201004000</v>
      </c>
      <c r="C395" s="8" t="s">
        <v>524</v>
      </c>
      <c r="D395" s="8" t="s">
        <v>463</v>
      </c>
      <c r="G395" s="8" t="b">
        <v>0</v>
      </c>
      <c r="L395" s="7" t="s">
        <v>1481</v>
      </c>
    </row>
    <row r="396" spans="1:12" ht="15.75" customHeight="1">
      <c r="A396" s="8">
        <v>7201005000</v>
      </c>
      <c r="B396" s="8">
        <v>7201005000</v>
      </c>
      <c r="C396" s="8" t="s">
        <v>525</v>
      </c>
      <c r="D396" s="8" t="s">
        <v>463</v>
      </c>
      <c r="G396" s="8" t="b">
        <v>0</v>
      </c>
      <c r="L396" s="7" t="s">
        <v>1481</v>
      </c>
    </row>
    <row r="397" spans="1:12" ht="15.75" customHeight="1">
      <c r="A397" s="8">
        <v>7201006000</v>
      </c>
      <c r="B397" s="8">
        <v>7201006000</v>
      </c>
      <c r="C397" s="8" t="s">
        <v>526</v>
      </c>
      <c r="D397" s="8" t="s">
        <v>463</v>
      </c>
      <c r="G397" s="8" t="b">
        <v>0</v>
      </c>
      <c r="L397" s="7" t="s">
        <v>1481</v>
      </c>
    </row>
    <row r="398" spans="1:12" ht="15.75" customHeight="1">
      <c r="A398" s="8">
        <v>7201007000</v>
      </c>
      <c r="B398" s="8">
        <v>7201007000</v>
      </c>
      <c r="C398" s="8" t="s">
        <v>527</v>
      </c>
      <c r="D398" s="8" t="s">
        <v>463</v>
      </c>
      <c r="G398" s="8" t="b">
        <v>0</v>
      </c>
      <c r="L398" s="7" t="s">
        <v>1481</v>
      </c>
    </row>
    <row r="399" spans="1:12" ht="15.75" customHeight="1">
      <c r="A399" s="8">
        <v>7201008000</v>
      </c>
      <c r="B399" s="8">
        <v>7201008000</v>
      </c>
      <c r="C399" s="8" t="s">
        <v>528</v>
      </c>
      <c r="D399" s="8" t="s">
        <v>463</v>
      </c>
      <c r="G399" s="8" t="b">
        <v>0</v>
      </c>
      <c r="L399" s="7" t="s">
        <v>1481</v>
      </c>
    </row>
    <row r="400" spans="1:12" ht="15.75" customHeight="1">
      <c r="A400" s="8">
        <v>7201009000</v>
      </c>
      <c r="B400" s="8">
        <v>7201009000</v>
      </c>
      <c r="C400" s="8" t="s">
        <v>529</v>
      </c>
      <c r="D400" s="8" t="s">
        <v>463</v>
      </c>
      <c r="G400" s="8" t="b">
        <v>0</v>
      </c>
      <c r="L400" s="7" t="s">
        <v>1481</v>
      </c>
    </row>
    <row r="401" spans="1:12" ht="15.75" customHeight="1">
      <c r="A401" s="8">
        <v>7201010000</v>
      </c>
      <c r="B401" s="8">
        <v>7201010000</v>
      </c>
      <c r="C401" s="8" t="s">
        <v>530</v>
      </c>
      <c r="D401" s="8" t="s">
        <v>463</v>
      </c>
      <c r="G401" s="8" t="b">
        <v>0</v>
      </c>
      <c r="L401" s="7" t="s">
        <v>1481</v>
      </c>
    </row>
    <row r="402" spans="1:12" ht="15.75" customHeight="1">
      <c r="A402" s="8">
        <v>7201011000</v>
      </c>
      <c r="B402" s="8">
        <v>7201011000</v>
      </c>
      <c r="C402" s="8" t="s">
        <v>531</v>
      </c>
      <c r="D402" s="8" t="s">
        <v>463</v>
      </c>
      <c r="G402" s="8" t="b">
        <v>0</v>
      </c>
      <c r="L402" s="7" t="s">
        <v>1481</v>
      </c>
    </row>
    <row r="403" spans="1:12" ht="15.75" customHeight="1">
      <c r="A403" s="8">
        <v>7201012000</v>
      </c>
      <c r="B403" s="8">
        <v>7201012000</v>
      </c>
      <c r="C403" s="8" t="s">
        <v>532</v>
      </c>
      <c r="D403" s="8" t="s">
        <v>463</v>
      </c>
      <c r="G403" s="8" t="b">
        <v>0</v>
      </c>
      <c r="L403" s="7" t="s">
        <v>1481</v>
      </c>
    </row>
    <row r="404" spans="1:12" ht="15.75" customHeight="1">
      <c r="A404" s="8">
        <v>7201013000</v>
      </c>
      <c r="B404" s="8">
        <v>7201013000</v>
      </c>
      <c r="C404" s="8" t="s">
        <v>533</v>
      </c>
      <c r="D404" s="8" t="s">
        <v>463</v>
      </c>
      <c r="G404" s="8" t="b">
        <v>0</v>
      </c>
      <c r="L404" s="7" t="s">
        <v>1481</v>
      </c>
    </row>
    <row r="405" spans="1:12" ht="15.75" customHeight="1">
      <c r="A405" s="8">
        <v>7201014000</v>
      </c>
      <c r="B405" s="8">
        <v>7201014000</v>
      </c>
      <c r="C405" s="8" t="s">
        <v>534</v>
      </c>
      <c r="D405" s="8" t="s">
        <v>463</v>
      </c>
      <c r="G405" s="8" t="b">
        <v>0</v>
      </c>
      <c r="L405" s="7" t="s">
        <v>1481</v>
      </c>
    </row>
    <row r="406" spans="1:12" ht="15.75" customHeight="1">
      <c r="A406" s="8">
        <v>7201015000</v>
      </c>
      <c r="B406" s="8">
        <v>7201015000</v>
      </c>
      <c r="C406" s="8" t="s">
        <v>535</v>
      </c>
      <c r="D406" s="8" t="s">
        <v>463</v>
      </c>
      <c r="G406" s="8" t="b">
        <v>0</v>
      </c>
      <c r="L406" s="7" t="s">
        <v>1481</v>
      </c>
    </row>
    <row r="407" spans="1:12" ht="15.75" customHeight="1">
      <c r="A407" s="8">
        <v>7201016000</v>
      </c>
      <c r="B407" s="8">
        <v>7201016000</v>
      </c>
      <c r="C407" s="8" t="s">
        <v>536</v>
      </c>
      <c r="D407" s="8" t="s">
        <v>463</v>
      </c>
      <c r="G407" s="8" t="b">
        <v>0</v>
      </c>
      <c r="L407" s="7" t="s">
        <v>1481</v>
      </c>
    </row>
    <row r="408" spans="1:12" ht="15.75" customHeight="1">
      <c r="A408" s="8">
        <v>7201017000</v>
      </c>
      <c r="B408" s="8">
        <v>7201017000</v>
      </c>
      <c r="C408" s="8" t="s">
        <v>537</v>
      </c>
      <c r="D408" s="8" t="s">
        <v>463</v>
      </c>
      <c r="G408" s="8" t="b">
        <v>0</v>
      </c>
      <c r="L408" s="7" t="s">
        <v>1481</v>
      </c>
    </row>
    <row r="409" spans="1:12" ht="15.75" customHeight="1">
      <c r="A409" s="8">
        <v>7201018000</v>
      </c>
      <c r="B409" s="8">
        <v>7201018000</v>
      </c>
      <c r="C409" s="8" t="s">
        <v>538</v>
      </c>
      <c r="D409" s="8" t="s">
        <v>463</v>
      </c>
      <c r="G409" s="8" t="b">
        <v>0</v>
      </c>
      <c r="L409" s="7" t="s">
        <v>1481</v>
      </c>
    </row>
    <row r="410" spans="1:12" ht="15.75" customHeight="1">
      <c r="A410" s="8">
        <v>7201019000</v>
      </c>
      <c r="B410" s="8">
        <v>7201019000</v>
      </c>
      <c r="C410" s="8" t="s">
        <v>539</v>
      </c>
      <c r="D410" s="8" t="s">
        <v>463</v>
      </c>
      <c r="G410" s="8" t="b">
        <v>0</v>
      </c>
      <c r="L410" s="7" t="s">
        <v>1481</v>
      </c>
    </row>
    <row r="411" spans="1:12" ht="15.75" customHeight="1">
      <c r="A411" s="8">
        <v>7202001000</v>
      </c>
      <c r="B411" s="8">
        <v>7202001000</v>
      </c>
      <c r="C411" s="8" t="s">
        <v>540</v>
      </c>
      <c r="D411" s="8" t="s">
        <v>463</v>
      </c>
      <c r="G411" s="8" t="b">
        <v>0</v>
      </c>
      <c r="L411" s="7" t="s">
        <v>1481</v>
      </c>
    </row>
    <row r="412" spans="1:12" ht="15.75" customHeight="1">
      <c r="A412" s="8">
        <v>7202002000</v>
      </c>
      <c r="B412" s="8">
        <v>7202002000</v>
      </c>
      <c r="C412" s="8" t="s">
        <v>541</v>
      </c>
      <c r="D412" s="8" t="s">
        <v>463</v>
      </c>
      <c r="G412" s="8" t="b">
        <v>0</v>
      </c>
      <c r="L412" s="7" t="s">
        <v>1481</v>
      </c>
    </row>
    <row r="413" spans="1:12" ht="15.75" customHeight="1">
      <c r="A413" s="8">
        <v>7202003000</v>
      </c>
      <c r="B413" s="8">
        <v>7202003000</v>
      </c>
      <c r="C413" s="8" t="s">
        <v>542</v>
      </c>
      <c r="D413" s="8" t="s">
        <v>463</v>
      </c>
      <c r="G413" s="8" t="b">
        <v>0</v>
      </c>
      <c r="L413" s="7" t="s">
        <v>1481</v>
      </c>
    </row>
    <row r="414" spans="1:12" ht="15.75" customHeight="1">
      <c r="A414" s="8">
        <v>7202004000</v>
      </c>
      <c r="B414" s="8">
        <v>7202004000</v>
      </c>
      <c r="C414" s="8" t="s">
        <v>543</v>
      </c>
      <c r="D414" s="8" t="s">
        <v>463</v>
      </c>
      <c r="G414" s="8" t="b">
        <v>0</v>
      </c>
      <c r="L414" s="7" t="s">
        <v>1481</v>
      </c>
    </row>
    <row r="415" spans="1:12" ht="15.75" customHeight="1">
      <c r="A415" s="8">
        <v>7203001000</v>
      </c>
      <c r="B415" s="8">
        <v>7203001000</v>
      </c>
      <c r="C415" s="8" t="s">
        <v>544</v>
      </c>
      <c r="D415" s="8" t="s">
        <v>463</v>
      </c>
      <c r="G415" s="8" t="b">
        <v>0</v>
      </c>
      <c r="L415" s="7" t="s">
        <v>1481</v>
      </c>
    </row>
    <row r="416" spans="1:12" ht="15.75" customHeight="1">
      <c r="A416" s="8">
        <v>7203002000</v>
      </c>
      <c r="B416" s="8">
        <v>7203002000</v>
      </c>
      <c r="C416" s="8" t="s">
        <v>545</v>
      </c>
      <c r="D416" s="8" t="s">
        <v>463</v>
      </c>
      <c r="G416" s="8" t="b">
        <v>0</v>
      </c>
      <c r="L416" s="7" t="s">
        <v>1481</v>
      </c>
    </row>
    <row r="417" spans="1:12" ht="15.75" customHeight="1">
      <c r="A417" s="8">
        <v>7203003000</v>
      </c>
      <c r="B417" s="8">
        <v>7203003000</v>
      </c>
      <c r="C417" s="8" t="s">
        <v>546</v>
      </c>
      <c r="D417" s="8" t="s">
        <v>463</v>
      </c>
      <c r="G417" s="8" t="b">
        <v>0</v>
      </c>
      <c r="L417" s="7" t="s">
        <v>1481</v>
      </c>
    </row>
    <row r="418" spans="1:12" ht="15.75" customHeight="1">
      <c r="A418" s="8">
        <v>7203004000</v>
      </c>
      <c r="B418" s="8">
        <v>7203004000</v>
      </c>
      <c r="C418" s="8" t="s">
        <v>547</v>
      </c>
      <c r="D418" s="8" t="s">
        <v>463</v>
      </c>
      <c r="G418" s="8" t="b">
        <v>0</v>
      </c>
      <c r="L418" s="7" t="s">
        <v>1481</v>
      </c>
    </row>
    <row r="419" spans="1:12" ht="15.75" customHeight="1">
      <c r="A419" s="8">
        <v>7203005000</v>
      </c>
      <c r="B419" s="8">
        <v>7203005000</v>
      </c>
      <c r="C419" s="8" t="s">
        <v>548</v>
      </c>
      <c r="D419" s="8" t="s">
        <v>463</v>
      </c>
      <c r="G419" s="8" t="b">
        <v>0</v>
      </c>
      <c r="L419" s="7" t="s">
        <v>1481</v>
      </c>
    </row>
    <row r="420" spans="1:12" ht="15.75" customHeight="1">
      <c r="A420" s="8">
        <v>7203006000</v>
      </c>
      <c r="B420" s="8">
        <v>7203006000</v>
      </c>
      <c r="C420" s="8" t="s">
        <v>549</v>
      </c>
      <c r="D420" s="8" t="s">
        <v>463</v>
      </c>
      <c r="G420" s="8" t="b">
        <v>0</v>
      </c>
      <c r="L420" s="7" t="s">
        <v>1481</v>
      </c>
    </row>
    <row r="421" spans="1:12" ht="15.75" customHeight="1">
      <c r="A421" s="8">
        <v>7203007000</v>
      </c>
      <c r="B421" s="8">
        <v>7203007000</v>
      </c>
      <c r="C421" s="8" t="s">
        <v>550</v>
      </c>
      <c r="D421" s="8" t="s">
        <v>463</v>
      </c>
      <c r="G421" s="8" t="b">
        <v>0</v>
      </c>
      <c r="L421" s="7" t="s">
        <v>1481</v>
      </c>
    </row>
    <row r="422" spans="1:12" ht="15.75" customHeight="1">
      <c r="A422" s="8">
        <v>7203008000</v>
      </c>
      <c r="B422" s="8">
        <v>7203008000</v>
      </c>
      <c r="C422" s="8" t="s">
        <v>551</v>
      </c>
      <c r="D422" s="8" t="s">
        <v>463</v>
      </c>
      <c r="G422" s="8" t="b">
        <v>0</v>
      </c>
      <c r="L422" s="7" t="s">
        <v>1481</v>
      </c>
    </row>
    <row r="423" spans="1:12" ht="15.75" customHeight="1">
      <c r="A423" s="8">
        <v>7203099000</v>
      </c>
      <c r="B423" s="8">
        <v>7203099000</v>
      </c>
      <c r="C423" s="8" t="s">
        <v>552</v>
      </c>
      <c r="D423" s="8" t="s">
        <v>463</v>
      </c>
      <c r="G423" s="8" t="b">
        <v>0</v>
      </c>
      <c r="L423" s="7" t="s">
        <v>1481</v>
      </c>
    </row>
    <row r="424" spans="1:12" ht="15.75" customHeight="1">
      <c r="A424" s="8">
        <v>7204101000</v>
      </c>
      <c r="B424" s="8">
        <v>7204101000</v>
      </c>
      <c r="C424" s="8" t="s">
        <v>553</v>
      </c>
      <c r="D424" s="8" t="s">
        <v>509</v>
      </c>
      <c r="G424" s="8" t="b">
        <v>0</v>
      </c>
      <c r="L424" s="7" t="s">
        <v>1481</v>
      </c>
    </row>
    <row r="425" spans="1:12" ht="15.75" customHeight="1">
      <c r="A425" s="8">
        <v>7204102000</v>
      </c>
      <c r="B425" s="8">
        <v>7204102000</v>
      </c>
      <c r="C425" s="8" t="s">
        <v>554</v>
      </c>
      <c r="D425" s="8" t="s">
        <v>509</v>
      </c>
      <c r="G425" s="8" t="b">
        <v>0</v>
      </c>
      <c r="L425" s="7" t="s">
        <v>1481</v>
      </c>
    </row>
    <row r="426" spans="1:12" ht="15.75" customHeight="1">
      <c r="A426" s="8">
        <v>7204103000</v>
      </c>
      <c r="B426" s="8">
        <v>7204103000</v>
      </c>
      <c r="C426" s="8" t="s">
        <v>555</v>
      </c>
      <c r="D426" s="8" t="s">
        <v>509</v>
      </c>
      <c r="G426" s="8" t="b">
        <v>0</v>
      </c>
      <c r="L426" s="7" t="s">
        <v>1481</v>
      </c>
    </row>
    <row r="427" spans="1:12" ht="15.75" customHeight="1">
      <c r="A427" s="8">
        <v>7204104000</v>
      </c>
      <c r="B427" s="8">
        <v>7204104000</v>
      </c>
      <c r="C427" s="8" t="s">
        <v>556</v>
      </c>
      <c r="D427" s="8" t="s">
        <v>509</v>
      </c>
      <c r="G427" s="8" t="b">
        <v>0</v>
      </c>
      <c r="L427" s="7" t="s">
        <v>1481</v>
      </c>
    </row>
    <row r="428" spans="1:12" ht="15.75" customHeight="1">
      <c r="A428" s="8">
        <v>7204105000</v>
      </c>
      <c r="B428" s="8">
        <v>7204105000</v>
      </c>
      <c r="C428" s="8" t="s">
        <v>557</v>
      </c>
      <c r="D428" s="8" t="s">
        <v>509</v>
      </c>
      <c r="G428" s="8" t="b">
        <v>0</v>
      </c>
      <c r="L428" s="7" t="s">
        <v>1481</v>
      </c>
    </row>
    <row r="429" spans="1:12" ht="15.75" customHeight="1">
      <c r="A429" s="8">
        <v>7204199000</v>
      </c>
      <c r="B429" s="8">
        <v>7204199000</v>
      </c>
      <c r="C429" s="8" t="s">
        <v>558</v>
      </c>
      <c r="D429" s="8" t="s">
        <v>509</v>
      </c>
      <c r="G429" s="8" t="b">
        <v>0</v>
      </c>
      <c r="L429" s="7" t="s">
        <v>1481</v>
      </c>
    </row>
    <row r="430" spans="1:12" ht="15.75" customHeight="1">
      <c r="A430" s="8">
        <v>7204201000</v>
      </c>
      <c r="B430" s="8">
        <v>7204201000</v>
      </c>
      <c r="C430" s="8" t="s">
        <v>559</v>
      </c>
      <c r="D430" s="8" t="s">
        <v>509</v>
      </c>
      <c r="G430" s="8" t="b">
        <v>0</v>
      </c>
      <c r="L430" s="7" t="s">
        <v>1481</v>
      </c>
    </row>
    <row r="431" spans="1:12" ht="15.75" customHeight="1">
      <c r="A431" s="8">
        <v>7204202000</v>
      </c>
      <c r="B431" s="8">
        <v>7204202000</v>
      </c>
      <c r="C431" s="8" t="s">
        <v>560</v>
      </c>
      <c r="D431" s="8" t="s">
        <v>509</v>
      </c>
      <c r="G431" s="8" t="b">
        <v>0</v>
      </c>
      <c r="L431" s="7" t="s">
        <v>1481</v>
      </c>
    </row>
    <row r="432" spans="1:12" ht="15.75" customHeight="1">
      <c r="A432" s="8">
        <v>7204203000</v>
      </c>
      <c r="B432" s="8">
        <v>7204203000</v>
      </c>
      <c r="C432" s="8" t="s">
        <v>561</v>
      </c>
      <c r="D432" s="8" t="s">
        <v>509</v>
      </c>
      <c r="G432" s="8" t="b">
        <v>0</v>
      </c>
      <c r="L432" s="7" t="s">
        <v>1481</v>
      </c>
    </row>
    <row r="433" spans="1:12" ht="15.75" customHeight="1">
      <c r="A433" s="8">
        <v>7204204000</v>
      </c>
      <c r="B433" s="8">
        <v>7204204000</v>
      </c>
      <c r="C433" s="8" t="s">
        <v>562</v>
      </c>
      <c r="D433" s="8" t="s">
        <v>509</v>
      </c>
      <c r="G433" s="8" t="b">
        <v>0</v>
      </c>
      <c r="L433" s="7" t="s">
        <v>1481</v>
      </c>
    </row>
    <row r="434" spans="1:12" ht="15.75" customHeight="1">
      <c r="A434" s="8">
        <v>7204205000</v>
      </c>
      <c r="B434" s="8">
        <v>7204205000</v>
      </c>
      <c r="C434" s="8" t="s">
        <v>563</v>
      </c>
      <c r="D434" s="8" t="s">
        <v>509</v>
      </c>
      <c r="G434" s="8" t="b">
        <v>0</v>
      </c>
      <c r="L434" s="7" t="s">
        <v>1481</v>
      </c>
    </row>
    <row r="435" spans="1:12" ht="15.75" customHeight="1">
      <c r="A435" s="8">
        <v>7204299000</v>
      </c>
      <c r="B435" s="8">
        <v>7204299000</v>
      </c>
      <c r="C435" s="8" t="s">
        <v>564</v>
      </c>
      <c r="D435" s="8" t="s">
        <v>509</v>
      </c>
      <c r="G435" s="8" t="b">
        <v>0</v>
      </c>
      <c r="L435" s="7" t="s">
        <v>1481</v>
      </c>
    </row>
    <row r="436" spans="1:12" ht="15.75" customHeight="1">
      <c r="A436" s="8">
        <v>7205001000</v>
      </c>
      <c r="B436" s="8">
        <v>7205001000</v>
      </c>
      <c r="C436" s="8" t="s">
        <v>565</v>
      </c>
      <c r="D436" s="8" t="s">
        <v>509</v>
      </c>
      <c r="G436" s="8" t="b">
        <v>0</v>
      </c>
      <c r="L436" s="7" t="s">
        <v>1481</v>
      </c>
    </row>
    <row r="437" spans="1:12" ht="15.75" customHeight="1">
      <c r="A437" s="8">
        <v>7205002000</v>
      </c>
      <c r="B437" s="8">
        <v>7205002000</v>
      </c>
      <c r="C437" s="8" t="s">
        <v>566</v>
      </c>
      <c r="D437" s="8" t="s">
        <v>509</v>
      </c>
      <c r="G437" s="8" t="b">
        <v>0</v>
      </c>
      <c r="L437" s="7" t="s">
        <v>1481</v>
      </c>
    </row>
    <row r="438" spans="1:12" ht="15.75" customHeight="1">
      <c r="A438" s="8">
        <v>7205003000</v>
      </c>
      <c r="B438" s="8">
        <v>7205003000</v>
      </c>
      <c r="C438" s="8" t="s">
        <v>567</v>
      </c>
      <c r="D438" s="8" t="s">
        <v>509</v>
      </c>
      <c r="G438" s="8" t="b">
        <v>0</v>
      </c>
      <c r="L438" s="7" t="s">
        <v>1481</v>
      </c>
    </row>
    <row r="439" spans="1:12" ht="15.75" customHeight="1">
      <c r="A439" s="8">
        <v>7205004000</v>
      </c>
      <c r="B439" s="8">
        <v>7205004000</v>
      </c>
      <c r="C439" s="8" t="s">
        <v>568</v>
      </c>
      <c r="D439" s="8" t="s">
        <v>509</v>
      </c>
      <c r="G439" s="8" t="b">
        <v>0</v>
      </c>
      <c r="L439" s="7" t="s">
        <v>1481</v>
      </c>
    </row>
    <row r="440" spans="1:12" ht="15.75" customHeight="1">
      <c r="A440" s="8">
        <v>7205005000</v>
      </c>
      <c r="B440" s="8">
        <v>7205005000</v>
      </c>
      <c r="C440" s="8" t="s">
        <v>569</v>
      </c>
      <c r="D440" s="8" t="s">
        <v>509</v>
      </c>
      <c r="G440" s="8" t="b">
        <v>0</v>
      </c>
      <c r="L440" s="7" t="s">
        <v>1481</v>
      </c>
    </row>
    <row r="441" spans="1:12" ht="15.75" customHeight="1">
      <c r="A441" s="8">
        <v>7205099000</v>
      </c>
      <c r="B441" s="8">
        <v>7205099000</v>
      </c>
      <c r="C441" s="8" t="s">
        <v>570</v>
      </c>
      <c r="D441" s="8" t="s">
        <v>509</v>
      </c>
      <c r="G441" s="8" t="b">
        <v>0</v>
      </c>
      <c r="L441" s="7" t="s">
        <v>1481</v>
      </c>
    </row>
    <row r="442" spans="1:12" ht="15.75" customHeight="1">
      <c r="A442" s="8">
        <v>7206001000</v>
      </c>
      <c r="B442" s="8">
        <v>7206001000</v>
      </c>
      <c r="C442" s="8" t="s">
        <v>571</v>
      </c>
      <c r="D442" s="8" t="s">
        <v>509</v>
      </c>
      <c r="G442" s="8" t="b">
        <v>0</v>
      </c>
      <c r="L442" s="7" t="s">
        <v>1481</v>
      </c>
    </row>
    <row r="443" spans="1:12" ht="15.75" customHeight="1">
      <c r="A443" s="8">
        <v>7206002000</v>
      </c>
      <c r="B443" s="8">
        <v>7206002000</v>
      </c>
      <c r="C443" s="8" t="s">
        <v>572</v>
      </c>
      <c r="D443" s="8" t="s">
        <v>509</v>
      </c>
      <c r="G443" s="8" t="b">
        <v>0</v>
      </c>
      <c r="L443" s="7" t="s">
        <v>1481</v>
      </c>
    </row>
    <row r="444" spans="1:12" ht="15.75" customHeight="1">
      <c r="A444" s="8">
        <v>7206003000</v>
      </c>
      <c r="B444" s="8">
        <v>7206003000</v>
      </c>
      <c r="C444" s="8" t="s">
        <v>573</v>
      </c>
      <c r="D444" s="8" t="s">
        <v>509</v>
      </c>
      <c r="G444" s="8" t="b">
        <v>0</v>
      </c>
      <c r="L444" s="7" t="s">
        <v>1481</v>
      </c>
    </row>
    <row r="445" spans="1:12" ht="15.75" customHeight="1">
      <c r="A445" s="8">
        <v>7206004000</v>
      </c>
      <c r="B445" s="8">
        <v>7206004000</v>
      </c>
      <c r="C445" s="8" t="s">
        <v>574</v>
      </c>
      <c r="D445" s="8" t="s">
        <v>509</v>
      </c>
      <c r="G445" s="8" t="b">
        <v>0</v>
      </c>
      <c r="L445" s="7" t="s">
        <v>1481</v>
      </c>
    </row>
    <row r="446" spans="1:12" ht="15.75" customHeight="1">
      <c r="A446" s="8">
        <v>7207001000</v>
      </c>
      <c r="B446" s="8">
        <v>7207001000</v>
      </c>
      <c r="C446" s="8" t="s">
        <v>575</v>
      </c>
      <c r="D446" s="8" t="s">
        <v>463</v>
      </c>
      <c r="G446" s="8" t="b">
        <v>0</v>
      </c>
      <c r="L446" s="7" t="s">
        <v>1481</v>
      </c>
    </row>
    <row r="447" spans="1:12" ht="15.75" customHeight="1">
      <c r="A447" s="8">
        <v>7207002000</v>
      </c>
      <c r="B447" s="8">
        <v>7207002000</v>
      </c>
      <c r="C447" s="8" t="s">
        <v>576</v>
      </c>
      <c r="D447" s="8" t="s">
        <v>463</v>
      </c>
      <c r="G447" s="8" t="b">
        <v>0</v>
      </c>
      <c r="L447" s="7" t="s">
        <v>1481</v>
      </c>
    </row>
    <row r="448" spans="1:12" ht="15.75" customHeight="1">
      <c r="A448" s="8">
        <v>7208000001</v>
      </c>
      <c r="B448" s="8">
        <v>7208000001</v>
      </c>
      <c r="C448" s="8" t="s">
        <v>577</v>
      </c>
      <c r="D448" s="8" t="s">
        <v>463</v>
      </c>
      <c r="G448" s="8" t="b">
        <v>0</v>
      </c>
      <c r="L448" s="7" t="s">
        <v>1481</v>
      </c>
    </row>
    <row r="449" spans="1:12" ht="15.75" customHeight="1">
      <c r="A449" s="8">
        <v>7209001000</v>
      </c>
      <c r="B449" s="8">
        <v>7209001000</v>
      </c>
      <c r="C449" s="8" t="s">
        <v>578</v>
      </c>
      <c r="D449" s="8" t="s">
        <v>463</v>
      </c>
      <c r="G449" s="8" t="b">
        <v>0</v>
      </c>
      <c r="L449" s="7" t="s">
        <v>1481</v>
      </c>
    </row>
    <row r="450" spans="1:12" ht="15.75" customHeight="1">
      <c r="A450" s="8">
        <v>7209002000</v>
      </c>
      <c r="B450" s="8">
        <v>7209002000</v>
      </c>
      <c r="C450" s="8" t="s">
        <v>579</v>
      </c>
      <c r="D450" s="8" t="s">
        <v>463</v>
      </c>
      <c r="G450" s="8" t="b">
        <v>0</v>
      </c>
      <c r="L450" s="7" t="s">
        <v>1481</v>
      </c>
    </row>
    <row r="451" spans="1:12" ht="15.75" customHeight="1">
      <c r="A451" s="8">
        <v>7209003000</v>
      </c>
      <c r="B451" s="8">
        <v>7209003000</v>
      </c>
      <c r="C451" s="8" t="s">
        <v>580</v>
      </c>
      <c r="D451" s="8" t="s">
        <v>463</v>
      </c>
      <c r="G451" s="8" t="b">
        <v>0</v>
      </c>
      <c r="L451" s="7" t="s">
        <v>1481</v>
      </c>
    </row>
    <row r="452" spans="1:12" ht="15.75" customHeight="1">
      <c r="A452" s="8">
        <v>7210001000</v>
      </c>
      <c r="B452" s="8">
        <v>7210001000</v>
      </c>
      <c r="C452" s="8" t="s">
        <v>581</v>
      </c>
      <c r="D452" s="8" t="s">
        <v>463</v>
      </c>
      <c r="G452" s="8" t="b">
        <v>0</v>
      </c>
      <c r="L452" s="7" t="s">
        <v>1481</v>
      </c>
    </row>
    <row r="453" spans="1:12" ht="15.75" customHeight="1">
      <c r="A453" s="8">
        <v>7210002000</v>
      </c>
      <c r="B453" s="8">
        <v>7210002000</v>
      </c>
      <c r="C453" s="8" t="s">
        <v>582</v>
      </c>
      <c r="D453" s="8" t="s">
        <v>463</v>
      </c>
      <c r="G453" s="8" t="b">
        <v>0</v>
      </c>
      <c r="L453" s="7" t="s">
        <v>1481</v>
      </c>
    </row>
    <row r="454" spans="1:12" ht="15.75" customHeight="1">
      <c r="A454" s="8">
        <v>7210003000</v>
      </c>
      <c r="B454" s="8">
        <v>7210003000</v>
      </c>
      <c r="C454" s="8" t="s">
        <v>583</v>
      </c>
      <c r="D454" s="8" t="s">
        <v>463</v>
      </c>
      <c r="G454" s="8" t="b">
        <v>0</v>
      </c>
      <c r="L454" s="7" t="s">
        <v>1481</v>
      </c>
    </row>
    <row r="455" spans="1:12" ht="15.75" customHeight="1">
      <c r="A455" s="8">
        <v>7210004000</v>
      </c>
      <c r="B455" s="8">
        <v>7210004000</v>
      </c>
      <c r="C455" s="8" t="s">
        <v>584</v>
      </c>
      <c r="D455" s="8" t="s">
        <v>463</v>
      </c>
      <c r="G455" s="8" t="b">
        <v>0</v>
      </c>
      <c r="L455" s="7" t="s">
        <v>1481</v>
      </c>
    </row>
    <row r="456" spans="1:12" ht="15.75" customHeight="1">
      <c r="A456" s="8">
        <v>7210005000</v>
      </c>
      <c r="B456" s="8">
        <v>7210005000</v>
      </c>
      <c r="C456" s="8" t="s">
        <v>585</v>
      </c>
      <c r="D456" s="8" t="s">
        <v>463</v>
      </c>
      <c r="G456" s="8" t="b">
        <v>0</v>
      </c>
      <c r="L456" s="7" t="s">
        <v>1481</v>
      </c>
    </row>
    <row r="457" spans="1:12" ht="15.75" customHeight="1">
      <c r="A457" s="8">
        <v>7211001000</v>
      </c>
      <c r="B457" s="8">
        <v>7211001000</v>
      </c>
      <c r="C457" s="8" t="s">
        <v>586</v>
      </c>
      <c r="D457" s="8" t="s">
        <v>463</v>
      </c>
      <c r="G457" s="8" t="b">
        <v>0</v>
      </c>
      <c r="L457" s="7" t="s">
        <v>1481</v>
      </c>
    </row>
    <row r="458" spans="1:12" ht="15.75" customHeight="1">
      <c r="A458" s="8">
        <v>7211002000</v>
      </c>
      <c r="B458" s="8">
        <v>7211002000</v>
      </c>
      <c r="C458" s="8" t="s">
        <v>587</v>
      </c>
      <c r="D458" s="8" t="s">
        <v>463</v>
      </c>
      <c r="G458" s="8" t="b">
        <v>0</v>
      </c>
      <c r="L458" s="7" t="s">
        <v>1481</v>
      </c>
    </row>
    <row r="459" spans="1:12" ht="15.75" customHeight="1">
      <c r="A459" s="8">
        <v>7211003000</v>
      </c>
      <c r="B459" s="8">
        <v>7211003000</v>
      </c>
      <c r="C459" s="8" t="s">
        <v>588</v>
      </c>
      <c r="D459" s="8" t="s">
        <v>463</v>
      </c>
      <c r="G459" s="8" t="b">
        <v>0</v>
      </c>
      <c r="L459" s="7" t="s">
        <v>1481</v>
      </c>
    </row>
    <row r="460" spans="1:12" ht="15.75" customHeight="1">
      <c r="A460" s="8">
        <v>7211003001</v>
      </c>
      <c r="B460" s="8">
        <v>7211003001</v>
      </c>
      <c r="C460" s="8" t="s">
        <v>589</v>
      </c>
      <c r="D460" s="8" t="s">
        <v>463</v>
      </c>
      <c r="G460" s="8" t="b">
        <v>0</v>
      </c>
      <c r="L460" s="7" t="s">
        <v>1481</v>
      </c>
    </row>
    <row r="461" spans="1:12" ht="15.75" customHeight="1">
      <c r="A461" s="8">
        <v>7211004000</v>
      </c>
      <c r="B461" s="8">
        <v>7211004000</v>
      </c>
      <c r="C461" s="8" t="s">
        <v>590</v>
      </c>
      <c r="D461" s="8" t="s">
        <v>463</v>
      </c>
      <c r="G461" s="8" t="b">
        <v>0</v>
      </c>
      <c r="L461" s="7" t="s">
        <v>1481</v>
      </c>
    </row>
    <row r="462" spans="1:12" ht="15.75" customHeight="1">
      <c r="A462" s="8">
        <v>7211005000</v>
      </c>
      <c r="B462" s="8">
        <v>7211005000</v>
      </c>
      <c r="C462" s="8" t="s">
        <v>591</v>
      </c>
      <c r="D462" s="8" t="s">
        <v>463</v>
      </c>
      <c r="G462" s="8" t="b">
        <v>0</v>
      </c>
      <c r="L462" s="7" t="s">
        <v>1481</v>
      </c>
    </row>
    <row r="463" spans="1:12" ht="15.75" customHeight="1">
      <c r="A463" s="8">
        <v>7211006000</v>
      </c>
      <c r="B463" s="8">
        <v>7211006000</v>
      </c>
      <c r="C463" s="8" t="s">
        <v>592</v>
      </c>
      <c r="D463" s="8" t="s">
        <v>463</v>
      </c>
      <c r="G463" s="8" t="b">
        <v>0</v>
      </c>
      <c r="L463" s="7" t="s">
        <v>1481</v>
      </c>
    </row>
    <row r="464" spans="1:12" ht="15.75" customHeight="1">
      <c r="A464" s="8">
        <v>7211007000</v>
      </c>
      <c r="B464" s="8">
        <v>7211007000</v>
      </c>
      <c r="C464" s="8" t="s">
        <v>593</v>
      </c>
      <c r="D464" s="8" t="s">
        <v>463</v>
      </c>
      <c r="G464" s="8" t="b">
        <v>0</v>
      </c>
      <c r="L464" s="7" t="s">
        <v>1481</v>
      </c>
    </row>
    <row r="465" spans="1:12" ht="15.75" customHeight="1">
      <c r="A465" s="8">
        <v>7211008000</v>
      </c>
      <c r="B465" s="8">
        <v>7211008000</v>
      </c>
      <c r="C465" s="8" t="s">
        <v>594</v>
      </c>
      <c r="D465" s="8" t="s">
        <v>463</v>
      </c>
      <c r="G465" s="8" t="b">
        <v>0</v>
      </c>
      <c r="L465" s="7" t="s">
        <v>1481</v>
      </c>
    </row>
    <row r="466" spans="1:12" ht="15.75" customHeight="1">
      <c r="A466" s="8">
        <v>7212001000</v>
      </c>
      <c r="B466" s="8">
        <v>7212001000</v>
      </c>
      <c r="C466" s="8" t="s">
        <v>595</v>
      </c>
      <c r="D466" s="8" t="s">
        <v>463</v>
      </c>
      <c r="G466" s="8" t="b">
        <v>0</v>
      </c>
      <c r="L466" s="7" t="s">
        <v>1481</v>
      </c>
    </row>
    <row r="467" spans="1:12" ht="15.75" customHeight="1">
      <c r="A467" s="8">
        <v>7212002000</v>
      </c>
      <c r="B467" s="8">
        <v>7212002000</v>
      </c>
      <c r="C467" s="8" t="s">
        <v>596</v>
      </c>
      <c r="D467" s="8" t="s">
        <v>463</v>
      </c>
      <c r="G467" s="8" t="b">
        <v>0</v>
      </c>
      <c r="L467" s="7" t="s">
        <v>1481</v>
      </c>
    </row>
    <row r="468" spans="1:12" ht="15.75" customHeight="1">
      <c r="A468" s="8">
        <v>7212003000</v>
      </c>
      <c r="B468" s="8">
        <v>7212003000</v>
      </c>
      <c r="C468" s="8" t="s">
        <v>597</v>
      </c>
      <c r="D468" s="8" t="s">
        <v>463</v>
      </c>
      <c r="G468" s="8" t="b">
        <v>0</v>
      </c>
      <c r="L468" s="7" t="s">
        <v>1481</v>
      </c>
    </row>
    <row r="469" spans="1:12" ht="15.75" customHeight="1">
      <c r="A469" s="8">
        <v>7212004000</v>
      </c>
      <c r="B469" s="8">
        <v>7212004000</v>
      </c>
      <c r="C469" s="8" t="s">
        <v>598</v>
      </c>
      <c r="D469" s="8" t="s">
        <v>463</v>
      </c>
      <c r="G469" s="8" t="b">
        <v>0</v>
      </c>
      <c r="L469" s="7" t="s">
        <v>1481</v>
      </c>
    </row>
    <row r="470" spans="1:12" ht="15.75" customHeight="1">
      <c r="A470" s="8">
        <v>7212005000</v>
      </c>
      <c r="B470" s="8">
        <v>7212005000</v>
      </c>
      <c r="C470" s="8" t="s">
        <v>599</v>
      </c>
      <c r="D470" s="8" t="s">
        <v>463</v>
      </c>
      <c r="G470" s="8" t="b">
        <v>0</v>
      </c>
      <c r="L470" s="7" t="s">
        <v>1481</v>
      </c>
    </row>
    <row r="471" spans="1:12" ht="15.75" customHeight="1">
      <c r="A471" s="8">
        <v>7213001000</v>
      </c>
      <c r="B471" s="8">
        <v>7213001000</v>
      </c>
      <c r="C471" s="8" t="s">
        <v>600</v>
      </c>
      <c r="D471" s="8" t="s">
        <v>463</v>
      </c>
      <c r="G471" s="8" t="b">
        <v>0</v>
      </c>
      <c r="L471" s="7" t="s">
        <v>1481</v>
      </c>
    </row>
    <row r="472" spans="1:12" ht="15.75" customHeight="1">
      <c r="A472" s="8">
        <v>7213002000</v>
      </c>
      <c r="B472" s="8">
        <v>7213002000</v>
      </c>
      <c r="C472" s="8" t="s">
        <v>601</v>
      </c>
      <c r="D472" s="8" t="s">
        <v>463</v>
      </c>
      <c r="G472" s="8" t="b">
        <v>0</v>
      </c>
      <c r="L472" s="7" t="s">
        <v>1481</v>
      </c>
    </row>
    <row r="473" spans="1:12" ht="15.75" customHeight="1">
      <c r="A473" s="8">
        <v>7213003000</v>
      </c>
      <c r="B473" s="8">
        <v>7213003000</v>
      </c>
      <c r="C473" s="8" t="s">
        <v>602</v>
      </c>
      <c r="D473" s="8" t="s">
        <v>463</v>
      </c>
      <c r="G473" s="8" t="b">
        <v>0</v>
      </c>
      <c r="L473" s="7" t="s">
        <v>1481</v>
      </c>
    </row>
    <row r="474" spans="1:12" ht="15.75" customHeight="1">
      <c r="A474" s="8">
        <v>7213004000</v>
      </c>
      <c r="B474" s="8">
        <v>7213004000</v>
      </c>
      <c r="C474" s="8" t="s">
        <v>603</v>
      </c>
      <c r="D474" s="8" t="s">
        <v>463</v>
      </c>
      <c r="G474" s="8" t="b">
        <v>0</v>
      </c>
      <c r="L474" s="7" t="s">
        <v>1481</v>
      </c>
    </row>
    <row r="475" spans="1:12" ht="15.75" customHeight="1">
      <c r="A475" s="8">
        <v>7214001000</v>
      </c>
      <c r="B475" s="8">
        <v>7214001000</v>
      </c>
      <c r="C475" s="8" t="s">
        <v>604</v>
      </c>
      <c r="D475" s="8" t="s">
        <v>463</v>
      </c>
      <c r="G475" s="8" t="b">
        <v>0</v>
      </c>
      <c r="L475" s="7" t="s">
        <v>1481</v>
      </c>
    </row>
    <row r="476" spans="1:12" ht="15.75" customHeight="1">
      <c r="A476" s="8">
        <v>7214002000</v>
      </c>
      <c r="B476" s="8">
        <v>7214002000</v>
      </c>
      <c r="C476" s="8" t="s">
        <v>605</v>
      </c>
      <c r="D476" s="8" t="s">
        <v>463</v>
      </c>
      <c r="G476" s="8" t="b">
        <v>0</v>
      </c>
      <c r="L476" s="7" t="s">
        <v>1481</v>
      </c>
    </row>
    <row r="477" spans="1:12" ht="15.75" customHeight="1">
      <c r="A477" s="8">
        <v>7214003000</v>
      </c>
      <c r="B477" s="8">
        <v>7214003000</v>
      </c>
      <c r="C477" s="8" t="s">
        <v>606</v>
      </c>
      <c r="D477" s="8" t="s">
        <v>463</v>
      </c>
      <c r="G477" s="8" t="b">
        <v>0</v>
      </c>
      <c r="L477" s="7" t="s">
        <v>1481</v>
      </c>
    </row>
    <row r="478" spans="1:12" ht="15.75" customHeight="1">
      <c r="A478" s="8">
        <v>7214004000</v>
      </c>
      <c r="B478" s="8">
        <v>7214004000</v>
      </c>
      <c r="C478" s="8" t="s">
        <v>607</v>
      </c>
      <c r="D478" s="8" t="s">
        <v>463</v>
      </c>
      <c r="G478" s="8" t="b">
        <v>0</v>
      </c>
      <c r="L478" s="7" t="s">
        <v>1481</v>
      </c>
    </row>
    <row r="479" spans="1:12" ht="15.75" customHeight="1">
      <c r="A479" s="8">
        <v>7214005000</v>
      </c>
      <c r="B479" s="8">
        <v>7214005000</v>
      </c>
      <c r="C479" s="8" t="s">
        <v>608</v>
      </c>
      <c r="D479" s="8" t="s">
        <v>463</v>
      </c>
      <c r="G479" s="8" t="b">
        <v>0</v>
      </c>
      <c r="L479" s="7" t="s">
        <v>1481</v>
      </c>
    </row>
    <row r="480" spans="1:12" ht="15.75" customHeight="1">
      <c r="A480" s="8">
        <v>7215001000</v>
      </c>
      <c r="B480" s="8">
        <v>7215001000</v>
      </c>
      <c r="C480" s="8" t="s">
        <v>609</v>
      </c>
      <c r="D480" s="8" t="s">
        <v>463</v>
      </c>
      <c r="G480" s="8" t="b">
        <v>0</v>
      </c>
      <c r="L480" s="7" t="s">
        <v>1481</v>
      </c>
    </row>
    <row r="481" spans="1:12" ht="15.75" customHeight="1">
      <c r="A481" s="8">
        <v>7215002000</v>
      </c>
      <c r="B481" s="8">
        <v>7215002000</v>
      </c>
      <c r="C481" s="8" t="s">
        <v>610</v>
      </c>
      <c r="D481" s="8" t="s">
        <v>463</v>
      </c>
      <c r="G481" s="8" t="b">
        <v>0</v>
      </c>
      <c r="L481" s="7" t="s">
        <v>1481</v>
      </c>
    </row>
    <row r="482" spans="1:12" ht="15.75" customHeight="1">
      <c r="A482" s="8">
        <v>7215003000</v>
      </c>
      <c r="B482" s="8">
        <v>7215003000</v>
      </c>
      <c r="C482" s="8" t="s">
        <v>611</v>
      </c>
      <c r="D482" s="8" t="s">
        <v>463</v>
      </c>
      <c r="G482" s="8" t="b">
        <v>0</v>
      </c>
      <c r="L482" s="7" t="s">
        <v>1481</v>
      </c>
    </row>
    <row r="483" spans="1:12" ht="15.75" customHeight="1">
      <c r="A483" s="8">
        <v>7215004000</v>
      </c>
      <c r="B483" s="8">
        <v>7215004000</v>
      </c>
      <c r="C483" s="8" t="s">
        <v>612</v>
      </c>
      <c r="D483" s="8" t="s">
        <v>463</v>
      </c>
      <c r="G483" s="8" t="b">
        <v>0</v>
      </c>
      <c r="L483" s="7" t="s">
        <v>1481</v>
      </c>
    </row>
    <row r="484" spans="1:12" ht="15.75" customHeight="1">
      <c r="A484" s="8">
        <v>7215005000</v>
      </c>
      <c r="B484" s="8">
        <v>7215005000</v>
      </c>
      <c r="C484" s="8" t="s">
        <v>613</v>
      </c>
      <c r="D484" s="8" t="s">
        <v>463</v>
      </c>
      <c r="G484" s="8" t="b">
        <v>0</v>
      </c>
      <c r="L484" s="7" t="s">
        <v>1481</v>
      </c>
    </row>
    <row r="485" spans="1:12" ht="15.75" customHeight="1">
      <c r="A485" s="8">
        <v>7215006000</v>
      </c>
      <c r="B485" s="8">
        <v>7215006000</v>
      </c>
      <c r="C485" s="8" t="s">
        <v>614</v>
      </c>
      <c r="D485" s="8" t="s">
        <v>463</v>
      </c>
      <c r="G485" s="8" t="b">
        <v>0</v>
      </c>
      <c r="L485" s="7" t="s">
        <v>1481</v>
      </c>
    </row>
    <row r="486" spans="1:12" ht="15.75" customHeight="1">
      <c r="A486" s="8">
        <v>7216000001</v>
      </c>
      <c r="B486" s="8">
        <v>7216000001</v>
      </c>
      <c r="C486" s="8" t="s">
        <v>615</v>
      </c>
      <c r="D486" s="8" t="s">
        <v>463</v>
      </c>
      <c r="G486" s="8" t="b">
        <v>0</v>
      </c>
      <c r="L486" s="7" t="s">
        <v>1481</v>
      </c>
    </row>
    <row r="487" spans="1:12" ht="15.75" customHeight="1">
      <c r="A487" s="8">
        <v>7217000001</v>
      </c>
      <c r="B487" s="8">
        <v>7217000001</v>
      </c>
      <c r="C487" s="8" t="s">
        <v>616</v>
      </c>
      <c r="D487" s="8" t="s">
        <v>463</v>
      </c>
      <c r="G487" s="8" t="b">
        <v>0</v>
      </c>
      <c r="L487" s="7" t="s">
        <v>1481</v>
      </c>
    </row>
    <row r="488" spans="1:12" ht="15.75" customHeight="1">
      <c r="A488" s="8">
        <v>7218000001</v>
      </c>
      <c r="B488" s="8">
        <v>7218000001</v>
      </c>
      <c r="C488" s="8" t="s">
        <v>617</v>
      </c>
      <c r="D488" s="8" t="s">
        <v>463</v>
      </c>
      <c r="G488" s="8" t="b">
        <v>0</v>
      </c>
      <c r="L488" s="7" t="s">
        <v>1481</v>
      </c>
    </row>
    <row r="489" spans="1:12" ht="15.75" customHeight="1">
      <c r="A489" s="8">
        <v>7219000001</v>
      </c>
      <c r="B489" s="8">
        <v>7219000001</v>
      </c>
      <c r="C489" s="8" t="s">
        <v>618</v>
      </c>
      <c r="D489" s="8" t="s">
        <v>463</v>
      </c>
      <c r="G489" s="8" t="b">
        <v>0</v>
      </c>
      <c r="L489" s="7" t="s">
        <v>1481</v>
      </c>
    </row>
    <row r="490" spans="1:12" ht="15.75" customHeight="1">
      <c r="A490" s="8">
        <v>7219000002</v>
      </c>
      <c r="B490" s="8">
        <v>7219000002</v>
      </c>
      <c r="C490" s="8" t="s">
        <v>619</v>
      </c>
      <c r="D490" s="8" t="s">
        <v>463</v>
      </c>
      <c r="G490" s="8" t="b">
        <v>0</v>
      </c>
      <c r="L490" s="7" t="s">
        <v>1481</v>
      </c>
    </row>
    <row r="491" spans="1:12" ht="15.75" customHeight="1">
      <c r="A491" s="8">
        <v>7299001000</v>
      </c>
      <c r="B491" s="8">
        <v>7299001000</v>
      </c>
      <c r="C491" s="8" t="s">
        <v>620</v>
      </c>
      <c r="D491" s="8" t="s">
        <v>463</v>
      </c>
      <c r="G491" s="8" t="b">
        <v>0</v>
      </c>
      <c r="L491" s="7" t="s">
        <v>1481</v>
      </c>
    </row>
    <row r="492" spans="1:12" ht="15.75" customHeight="1">
      <c r="A492" s="8">
        <v>7299002000</v>
      </c>
      <c r="B492" s="8">
        <v>7299002000</v>
      </c>
      <c r="C492" s="8" t="s">
        <v>621</v>
      </c>
      <c r="D492" s="8" t="s">
        <v>463</v>
      </c>
      <c r="G492" s="8" t="b">
        <v>0</v>
      </c>
      <c r="L492" s="7" t="s">
        <v>1481</v>
      </c>
    </row>
    <row r="493" spans="1:12" ht="15.75" customHeight="1">
      <c r="A493" s="8">
        <v>7299003000</v>
      </c>
      <c r="B493" s="8">
        <v>7299003000</v>
      </c>
      <c r="C493" s="8" t="s">
        <v>622</v>
      </c>
      <c r="D493" s="8" t="s">
        <v>463</v>
      </c>
      <c r="G493" s="8" t="b">
        <v>0</v>
      </c>
      <c r="L493" s="7" t="s">
        <v>1481</v>
      </c>
    </row>
    <row r="494" spans="1:12" ht="15.75" customHeight="1">
      <c r="A494" s="8">
        <v>7299004000</v>
      </c>
      <c r="B494" s="8">
        <v>7299004000</v>
      </c>
      <c r="C494" s="8" t="s">
        <v>623</v>
      </c>
      <c r="D494" s="8" t="s">
        <v>463</v>
      </c>
      <c r="G494" s="8" t="b">
        <v>0</v>
      </c>
      <c r="L494" s="7" t="s">
        <v>1481</v>
      </c>
    </row>
    <row r="495" spans="1:12" ht="15.75" customHeight="1">
      <c r="A495" s="8">
        <v>7299005000</v>
      </c>
      <c r="B495" s="8">
        <v>7299005000</v>
      </c>
      <c r="C495" s="8" t="s">
        <v>624</v>
      </c>
      <c r="D495" s="8" t="s">
        <v>463</v>
      </c>
      <c r="G495" s="8" t="b">
        <v>0</v>
      </c>
      <c r="L495" s="7" t="s">
        <v>1481</v>
      </c>
    </row>
    <row r="496" spans="1:12" ht="15.75" customHeight="1">
      <c r="A496" s="8">
        <v>7299006000</v>
      </c>
      <c r="B496" s="8">
        <v>7299006000</v>
      </c>
      <c r="C496" s="8" t="s">
        <v>625</v>
      </c>
      <c r="D496" s="8" t="s">
        <v>463</v>
      </c>
      <c r="G496" s="8" t="b">
        <v>0</v>
      </c>
      <c r="L496" s="7" t="s">
        <v>1481</v>
      </c>
    </row>
    <row r="497" spans="1:12" ht="15.75" customHeight="1">
      <c r="A497" s="8">
        <v>7299007000</v>
      </c>
      <c r="B497" s="8">
        <v>7299007000</v>
      </c>
      <c r="C497" s="8" t="s">
        <v>626</v>
      </c>
      <c r="D497" s="8" t="s">
        <v>463</v>
      </c>
      <c r="G497" s="8" t="b">
        <v>0</v>
      </c>
      <c r="L497" s="7" t="s">
        <v>1481</v>
      </c>
    </row>
    <row r="498" spans="1:12" ht="15.75" customHeight="1">
      <c r="A498" s="8">
        <v>7299008000</v>
      </c>
      <c r="B498" s="8">
        <v>7299008000</v>
      </c>
      <c r="C498" s="8" t="s">
        <v>627</v>
      </c>
      <c r="D498" s="8" t="s">
        <v>463</v>
      </c>
      <c r="G498" s="8" t="b">
        <v>0</v>
      </c>
      <c r="L498" s="7" t="s">
        <v>1481</v>
      </c>
    </row>
    <row r="499" spans="1:12" ht="15.75" customHeight="1">
      <c r="A499" s="8">
        <v>7299009000</v>
      </c>
      <c r="B499" s="8">
        <v>7299009000</v>
      </c>
      <c r="C499" s="8" t="s">
        <v>628</v>
      </c>
      <c r="D499" s="8" t="s">
        <v>463</v>
      </c>
      <c r="G499" s="8" t="b">
        <v>0</v>
      </c>
      <c r="L499" s="7" t="s">
        <v>1481</v>
      </c>
    </row>
    <row r="500" spans="1:12" ht="15.75" customHeight="1">
      <c r="A500" s="8">
        <v>7299010000</v>
      </c>
      <c r="B500" s="8">
        <v>7299010000</v>
      </c>
      <c r="C500" s="8" t="s">
        <v>629</v>
      </c>
      <c r="D500" s="8" t="s">
        <v>463</v>
      </c>
      <c r="G500" s="8" t="b">
        <v>0</v>
      </c>
      <c r="L500" s="7" t="s">
        <v>1481</v>
      </c>
    </row>
    <row r="501" spans="1:12" ht="15.75" customHeight="1">
      <c r="A501" s="8">
        <v>7299011000</v>
      </c>
      <c r="B501" s="8">
        <v>7299011000</v>
      </c>
      <c r="C501" s="8" t="s">
        <v>630</v>
      </c>
      <c r="D501" s="8" t="s">
        <v>463</v>
      </c>
      <c r="G501" s="8" t="b">
        <v>0</v>
      </c>
      <c r="L501" s="7" t="s">
        <v>1481</v>
      </c>
    </row>
    <row r="502" spans="1:12" ht="15.75" customHeight="1">
      <c r="A502" s="8">
        <v>7299012000</v>
      </c>
      <c r="B502" s="8">
        <v>7299012000</v>
      </c>
      <c r="C502" s="8" t="s">
        <v>631</v>
      </c>
      <c r="D502" s="8" t="s">
        <v>463</v>
      </c>
      <c r="G502" s="8" t="b">
        <v>0</v>
      </c>
      <c r="L502" s="7" t="s">
        <v>1481</v>
      </c>
    </row>
    <row r="503" spans="1:12" ht="15.75" customHeight="1">
      <c r="A503" s="8">
        <v>7299099000</v>
      </c>
      <c r="B503" s="8">
        <v>7299099000</v>
      </c>
      <c r="C503" s="8" t="s">
        <v>632</v>
      </c>
      <c r="D503" s="8" t="s">
        <v>463</v>
      </c>
      <c r="G503" s="8" t="b">
        <v>0</v>
      </c>
      <c r="L503" s="7" t="s">
        <v>1481</v>
      </c>
    </row>
    <row r="504" spans="1:12" ht="15.75" customHeight="1">
      <c r="A504" s="8">
        <v>7501000001</v>
      </c>
      <c r="B504" s="8">
        <v>7501000001</v>
      </c>
      <c r="C504" s="8" t="s">
        <v>633</v>
      </c>
      <c r="G504" s="8" t="b">
        <v>0</v>
      </c>
      <c r="L504" s="7" t="s">
        <v>1481</v>
      </c>
    </row>
    <row r="505" spans="1:12" ht="15.75" customHeight="1">
      <c r="A505" s="8">
        <v>7501000002</v>
      </c>
      <c r="B505" s="8">
        <v>7501000002</v>
      </c>
      <c r="C505" s="8" t="s">
        <v>634</v>
      </c>
      <c r="G505" s="8" t="b">
        <v>0</v>
      </c>
      <c r="L505" s="7" t="s">
        <v>1481</v>
      </c>
    </row>
    <row r="506" spans="1:12" ht="15.75" customHeight="1">
      <c r="A506" s="8">
        <v>7601000000</v>
      </c>
      <c r="B506" s="8">
        <v>7601000000</v>
      </c>
      <c r="C506" s="8" t="s">
        <v>635</v>
      </c>
      <c r="D506" s="8" t="s">
        <v>636</v>
      </c>
      <c r="G506" s="8" t="b">
        <v>0</v>
      </c>
      <c r="L506" s="7" t="s">
        <v>1481</v>
      </c>
    </row>
    <row r="507" spans="1:12" ht="15.75" customHeight="1">
      <c r="A507" s="8">
        <v>7601000099</v>
      </c>
      <c r="B507" s="8">
        <v>7601000099</v>
      </c>
      <c r="C507" s="8" t="s">
        <v>637</v>
      </c>
      <c r="D507" s="8" t="s">
        <v>636</v>
      </c>
      <c r="G507" s="8" t="b">
        <v>0</v>
      </c>
      <c r="L507" s="7" t="s">
        <v>1481</v>
      </c>
    </row>
    <row r="508" spans="1:12" ht="15.75" customHeight="1">
      <c r="A508" s="8">
        <v>7602000000</v>
      </c>
      <c r="B508" s="8">
        <v>7602000000</v>
      </c>
      <c r="C508" s="8" t="s">
        <v>638</v>
      </c>
      <c r="D508" s="8" t="s">
        <v>636</v>
      </c>
      <c r="G508" s="8" t="b">
        <v>0</v>
      </c>
      <c r="L508" s="7" t="s">
        <v>1481</v>
      </c>
    </row>
    <row r="509" spans="1:12" ht="15.75" customHeight="1">
      <c r="A509" s="8">
        <v>7603000000</v>
      </c>
      <c r="B509" s="8">
        <v>7603000000</v>
      </c>
      <c r="C509" s="8" t="s">
        <v>639</v>
      </c>
      <c r="D509" s="8" t="s">
        <v>636</v>
      </c>
      <c r="G509" s="8" t="b">
        <v>0</v>
      </c>
      <c r="L509" s="7" t="s">
        <v>1481</v>
      </c>
    </row>
    <row r="510" spans="1:12" ht="15.75" customHeight="1">
      <c r="A510" s="8">
        <v>7604000000</v>
      </c>
      <c r="B510" s="8">
        <v>7604000000</v>
      </c>
      <c r="C510" s="8" t="s">
        <v>640</v>
      </c>
      <c r="D510" s="8" t="s">
        <v>636</v>
      </c>
      <c r="G510" s="8" t="b">
        <v>0</v>
      </c>
      <c r="L510" s="7" t="s">
        <v>1481</v>
      </c>
    </row>
    <row r="511" spans="1:12" ht="15.75" customHeight="1">
      <c r="A511" s="8">
        <v>7605000000</v>
      </c>
      <c r="B511" s="8">
        <v>7605000000</v>
      </c>
      <c r="C511" s="8" t="s">
        <v>641</v>
      </c>
      <c r="D511" s="8" t="s">
        <v>636</v>
      </c>
      <c r="G511" s="8" t="b">
        <v>0</v>
      </c>
      <c r="L511" s="7" t="s">
        <v>1481</v>
      </c>
    </row>
    <row r="512" spans="1:12" ht="15.75" customHeight="1">
      <c r="A512" s="8">
        <v>7605000001</v>
      </c>
      <c r="B512" s="8">
        <v>7605000001</v>
      </c>
      <c r="C512" s="8" t="s">
        <v>642</v>
      </c>
      <c r="D512" s="8" t="s">
        <v>636</v>
      </c>
      <c r="G512" s="8" t="b">
        <v>0</v>
      </c>
      <c r="L512" s="7" t="s">
        <v>1481</v>
      </c>
    </row>
    <row r="513" spans="1:12" ht="15.75" customHeight="1">
      <c r="A513" s="8">
        <v>7606000000</v>
      </c>
      <c r="B513" s="8">
        <v>7606000000</v>
      </c>
      <c r="C513" s="8" t="s">
        <v>643</v>
      </c>
      <c r="D513" s="8" t="s">
        <v>636</v>
      </c>
      <c r="G513" s="8" t="b">
        <v>0</v>
      </c>
      <c r="L513" s="7" t="s">
        <v>1481</v>
      </c>
    </row>
    <row r="514" spans="1:12" ht="15.75" customHeight="1">
      <c r="A514" s="8">
        <v>7607000000</v>
      </c>
      <c r="B514" s="8">
        <v>7607000000</v>
      </c>
      <c r="C514" s="8" t="s">
        <v>644</v>
      </c>
      <c r="D514" s="8" t="s">
        <v>636</v>
      </c>
      <c r="G514" s="8" t="b">
        <v>0</v>
      </c>
      <c r="L514" s="7" t="s">
        <v>1481</v>
      </c>
    </row>
    <row r="515" spans="1:12" ht="15.75" customHeight="1">
      <c r="A515" s="8">
        <v>7608000000</v>
      </c>
      <c r="B515" s="8">
        <v>7608000000</v>
      </c>
      <c r="C515" s="8" t="s">
        <v>645</v>
      </c>
      <c r="D515" s="8" t="s">
        <v>636</v>
      </c>
      <c r="G515" s="8" t="b">
        <v>0</v>
      </c>
      <c r="L515" s="7" t="s">
        <v>1481</v>
      </c>
    </row>
    <row r="516" spans="1:12" ht="15.75" customHeight="1">
      <c r="A516" s="8">
        <v>7609000000</v>
      </c>
      <c r="B516" s="8">
        <v>7609000000</v>
      </c>
      <c r="C516" s="8" t="s">
        <v>646</v>
      </c>
      <c r="D516" s="8" t="s">
        <v>636</v>
      </c>
      <c r="G516" s="8" t="b">
        <v>0</v>
      </c>
      <c r="L516" s="7" t="s">
        <v>1481</v>
      </c>
    </row>
    <row r="517" spans="1:12" ht="15.75" customHeight="1">
      <c r="A517" s="8">
        <v>7610000000</v>
      </c>
      <c r="B517" s="8">
        <v>7610000000</v>
      </c>
      <c r="C517" s="8" t="s">
        <v>647</v>
      </c>
      <c r="D517" s="8" t="s">
        <v>636</v>
      </c>
      <c r="G517" s="8" t="b">
        <v>0</v>
      </c>
      <c r="L517" s="7" t="s">
        <v>1481</v>
      </c>
    </row>
    <row r="518" spans="1:12" ht="15.75" customHeight="1">
      <c r="A518" s="8">
        <v>7611000000</v>
      </c>
      <c r="B518" s="8">
        <v>7611000000</v>
      </c>
      <c r="C518" s="8" t="s">
        <v>648</v>
      </c>
      <c r="D518" s="8" t="s">
        <v>636</v>
      </c>
      <c r="G518" s="8" t="b">
        <v>0</v>
      </c>
      <c r="L518" s="7" t="s">
        <v>1481</v>
      </c>
    </row>
    <row r="519" spans="1:12" ht="15.75" customHeight="1">
      <c r="A519" s="8">
        <v>7699000000</v>
      </c>
      <c r="B519" s="8">
        <v>7699000000</v>
      </c>
      <c r="C519" s="8" t="s">
        <v>649</v>
      </c>
      <c r="D519" s="8" t="s">
        <v>636</v>
      </c>
      <c r="G519" s="8" t="b">
        <v>0</v>
      </c>
      <c r="L519" s="7" t="s">
        <v>1481</v>
      </c>
    </row>
    <row r="520" spans="1:12" ht="15.75" customHeight="1">
      <c r="A520" s="8">
        <v>7701000000</v>
      </c>
      <c r="B520" s="8">
        <v>7701000000</v>
      </c>
      <c r="C520" s="8" t="s">
        <v>650</v>
      </c>
      <c r="D520" s="8" t="s">
        <v>463</v>
      </c>
      <c r="G520" s="8" t="b">
        <v>0</v>
      </c>
      <c r="L520" s="7" t="s">
        <v>1481</v>
      </c>
    </row>
    <row r="521" spans="1:12" ht="15.75" customHeight="1">
      <c r="A521" s="8">
        <v>7702000000</v>
      </c>
      <c r="B521" s="8">
        <v>7702000000</v>
      </c>
      <c r="C521" s="8" t="s">
        <v>651</v>
      </c>
      <c r="D521" s="8" t="s">
        <v>463</v>
      </c>
      <c r="G521" s="8" t="b">
        <v>0</v>
      </c>
      <c r="L521" s="7" t="s">
        <v>1481</v>
      </c>
    </row>
    <row r="522" spans="1:12" ht="15.75" customHeight="1">
      <c r="A522" s="8">
        <v>7703000000</v>
      </c>
      <c r="B522" s="8">
        <v>7703000000</v>
      </c>
      <c r="C522" s="8" t="s">
        <v>652</v>
      </c>
      <c r="D522" s="8" t="s">
        <v>463</v>
      </c>
      <c r="G522" s="8" t="b">
        <v>0</v>
      </c>
      <c r="L522" s="7" t="s">
        <v>1481</v>
      </c>
    </row>
    <row r="523" spans="1:12" ht="15.75" customHeight="1">
      <c r="A523" s="8">
        <v>7704000000</v>
      </c>
      <c r="B523" s="8">
        <v>7704000000</v>
      </c>
      <c r="C523" s="8" t="s">
        <v>653</v>
      </c>
      <c r="D523" s="8" t="s">
        <v>463</v>
      </c>
      <c r="G523" s="8" t="b">
        <v>0</v>
      </c>
      <c r="L523" s="7" t="s">
        <v>1481</v>
      </c>
    </row>
    <row r="524" spans="1:12" ht="15.75" customHeight="1">
      <c r="A524" s="8">
        <v>7705000000</v>
      </c>
      <c r="B524" s="8">
        <v>7705000000</v>
      </c>
      <c r="C524" s="8" t="s">
        <v>654</v>
      </c>
      <c r="D524" s="8" t="s">
        <v>463</v>
      </c>
      <c r="G524" s="8" t="b">
        <v>0</v>
      </c>
      <c r="L524" s="7" t="s">
        <v>1481</v>
      </c>
    </row>
    <row r="525" spans="1:12" ht="15.75" customHeight="1">
      <c r="A525" s="8">
        <v>7706000000</v>
      </c>
      <c r="B525" s="8">
        <v>7706000000</v>
      </c>
      <c r="C525" s="8" t="s">
        <v>655</v>
      </c>
      <c r="D525" s="8" t="s">
        <v>463</v>
      </c>
      <c r="G525" s="8" t="b">
        <v>0</v>
      </c>
      <c r="L525" s="7" t="s">
        <v>1481</v>
      </c>
    </row>
    <row r="526" spans="1:12" ht="15.75" customHeight="1">
      <c r="A526" s="8">
        <v>7707000000</v>
      </c>
      <c r="B526" s="8">
        <v>7707000000</v>
      </c>
      <c r="C526" s="8" t="s">
        <v>656</v>
      </c>
      <c r="D526" s="8" t="s">
        <v>463</v>
      </c>
      <c r="G526" s="8" t="b">
        <v>0</v>
      </c>
      <c r="L526" s="7" t="s">
        <v>1481</v>
      </c>
    </row>
    <row r="527" spans="1:12" ht="15.75" customHeight="1">
      <c r="A527" s="8">
        <v>7708000000</v>
      </c>
      <c r="B527" s="8">
        <v>7708000000</v>
      </c>
      <c r="C527" s="8" t="s">
        <v>657</v>
      </c>
      <c r="D527" s="8" t="s">
        <v>463</v>
      </c>
      <c r="G527" s="8" t="b">
        <v>0</v>
      </c>
      <c r="L527" s="7" t="s">
        <v>1481</v>
      </c>
    </row>
    <row r="528" spans="1:12" ht="15.75" customHeight="1">
      <c r="A528" s="8">
        <v>7709000000</v>
      </c>
      <c r="B528" s="8">
        <v>7709000000</v>
      </c>
      <c r="C528" s="8" t="s">
        <v>658</v>
      </c>
      <c r="D528" s="8" t="s">
        <v>463</v>
      </c>
      <c r="G528" s="8" t="b">
        <v>0</v>
      </c>
      <c r="L528" s="7" t="s">
        <v>1481</v>
      </c>
    </row>
    <row r="529" spans="1:12" ht="15.75" customHeight="1">
      <c r="A529" s="8">
        <v>7799000000</v>
      </c>
      <c r="B529" s="8">
        <v>7799000000</v>
      </c>
      <c r="C529" s="8" t="s">
        <v>659</v>
      </c>
      <c r="D529" s="8" t="s">
        <v>463</v>
      </c>
      <c r="G529" s="8" t="b">
        <v>0</v>
      </c>
      <c r="L529" s="7" t="s">
        <v>1481</v>
      </c>
    </row>
    <row r="530" spans="1:12" ht="15.75" customHeight="1">
      <c r="A530" s="8">
        <v>7801000000</v>
      </c>
      <c r="B530" s="8">
        <v>7801000000</v>
      </c>
      <c r="C530" s="8" t="s">
        <v>660</v>
      </c>
      <c r="D530" s="8" t="s">
        <v>636</v>
      </c>
      <c r="G530" s="8" t="b">
        <v>0</v>
      </c>
      <c r="L530" s="7" t="s">
        <v>1481</v>
      </c>
    </row>
    <row r="531" spans="1:12" ht="15.75" customHeight="1">
      <c r="A531" s="8">
        <v>7802000000</v>
      </c>
      <c r="B531" s="8">
        <v>7802000000</v>
      </c>
      <c r="C531" s="8" t="s">
        <v>661</v>
      </c>
      <c r="D531" s="8" t="s">
        <v>636</v>
      </c>
      <c r="G531" s="8" t="b">
        <v>0</v>
      </c>
      <c r="L531" s="7" t="s">
        <v>1481</v>
      </c>
    </row>
    <row r="532" spans="1:12" ht="15.75" customHeight="1">
      <c r="A532" s="8">
        <v>7803000000</v>
      </c>
      <c r="B532" s="8">
        <v>7803000000</v>
      </c>
      <c r="C532" s="8" t="s">
        <v>662</v>
      </c>
      <c r="D532" s="8" t="s">
        <v>636</v>
      </c>
      <c r="G532" s="8" t="b">
        <v>0</v>
      </c>
      <c r="L532" s="7" t="s">
        <v>1481</v>
      </c>
    </row>
    <row r="533" spans="1:12" ht="15.75" customHeight="1">
      <c r="A533" s="8">
        <v>7804000000</v>
      </c>
      <c r="B533" s="8">
        <v>7804000000</v>
      </c>
      <c r="C533" s="8" t="s">
        <v>663</v>
      </c>
      <c r="D533" s="8" t="s">
        <v>636</v>
      </c>
      <c r="G533" s="8" t="b">
        <v>0</v>
      </c>
      <c r="L533" s="7" t="s">
        <v>1481</v>
      </c>
    </row>
    <row r="534" spans="1:12" ht="15.75" customHeight="1">
      <c r="A534" s="8">
        <v>7805000000</v>
      </c>
      <c r="B534" s="8">
        <v>7805000000</v>
      </c>
      <c r="C534" s="8" t="s">
        <v>664</v>
      </c>
      <c r="D534" s="8" t="s">
        <v>636</v>
      </c>
      <c r="G534" s="8" t="b">
        <v>0</v>
      </c>
      <c r="L534" s="7" t="s">
        <v>1481</v>
      </c>
    </row>
    <row r="535" spans="1:12" ht="15.75" customHeight="1">
      <c r="A535" s="8">
        <v>7901000000</v>
      </c>
      <c r="B535" s="8">
        <v>7901000000</v>
      </c>
      <c r="C535" s="8" t="s">
        <v>665</v>
      </c>
      <c r="D535" s="8" t="s">
        <v>463</v>
      </c>
      <c r="G535" s="8" t="b">
        <v>0</v>
      </c>
      <c r="L535" s="7" t="s">
        <v>1481</v>
      </c>
    </row>
    <row r="536" spans="1:12" ht="15.75" customHeight="1">
      <c r="A536" s="8">
        <v>7902000000</v>
      </c>
      <c r="B536" s="8">
        <v>7902000000</v>
      </c>
      <c r="C536" s="8" t="s">
        <v>666</v>
      </c>
      <c r="D536" s="8" t="s">
        <v>463</v>
      </c>
      <c r="G536" s="8" t="b">
        <v>0</v>
      </c>
      <c r="L536" s="7" t="s">
        <v>1481</v>
      </c>
    </row>
    <row r="537" spans="1:12" ht="15.75" customHeight="1">
      <c r="A537" s="8">
        <v>7903000000</v>
      </c>
      <c r="B537" s="8">
        <v>7903000000</v>
      </c>
      <c r="C537" s="8" t="s">
        <v>667</v>
      </c>
      <c r="D537" s="8" t="s">
        <v>463</v>
      </c>
      <c r="G537" s="8" t="b">
        <v>0</v>
      </c>
      <c r="L537" s="7" t="s">
        <v>1481</v>
      </c>
    </row>
    <row r="538" spans="1:12" ht="15.75" customHeight="1">
      <c r="A538" s="8">
        <v>7904000000</v>
      </c>
      <c r="B538" s="8">
        <v>7904000000</v>
      </c>
      <c r="C538" s="8" t="s">
        <v>668</v>
      </c>
      <c r="D538" s="8" t="s">
        <v>463</v>
      </c>
      <c r="G538" s="8" t="b">
        <v>0</v>
      </c>
      <c r="L538" s="7" t="s">
        <v>1481</v>
      </c>
    </row>
    <row r="539" spans="1:12" ht="15.75" customHeight="1">
      <c r="A539" s="8">
        <v>8100000001</v>
      </c>
      <c r="B539" s="8">
        <v>8100000001</v>
      </c>
      <c r="C539" s="8" t="s">
        <v>669</v>
      </c>
      <c r="D539" s="8" t="s">
        <v>463</v>
      </c>
      <c r="G539" s="8" t="b">
        <v>0</v>
      </c>
      <c r="L539" s="7" t="s">
        <v>1481</v>
      </c>
    </row>
    <row r="540" spans="1:12" ht="15.75" customHeight="1">
      <c r="A540" s="8">
        <v>8200000001</v>
      </c>
      <c r="B540" s="8">
        <v>8200000001</v>
      </c>
      <c r="C540" s="8" t="s">
        <v>670</v>
      </c>
      <c r="D540" s="8" t="s">
        <v>463</v>
      </c>
      <c r="G540" s="8" t="b">
        <v>0</v>
      </c>
      <c r="L540" s="7" t="s">
        <v>1481</v>
      </c>
    </row>
    <row r="541" spans="1:12" ht="15.75" customHeight="1">
      <c r="A541" s="8">
        <v>8300000001</v>
      </c>
      <c r="B541" s="8">
        <v>8300000001</v>
      </c>
      <c r="C541" s="8" t="s">
        <v>671</v>
      </c>
      <c r="D541" s="8" t="s">
        <v>636</v>
      </c>
      <c r="G541" s="8" t="b">
        <v>0</v>
      </c>
      <c r="L541" s="7" t="s">
        <v>1481</v>
      </c>
    </row>
    <row r="542" spans="1:12" ht="15.75" customHeight="1">
      <c r="A542" s="8">
        <v>8300000002</v>
      </c>
      <c r="B542" s="8">
        <v>8300000002</v>
      </c>
      <c r="C542" s="8" t="s">
        <v>672</v>
      </c>
      <c r="D542" s="8" t="s">
        <v>636</v>
      </c>
      <c r="G542" s="8" t="b">
        <v>0</v>
      </c>
      <c r="L542" s="7" t="s">
        <v>1481</v>
      </c>
    </row>
    <row r="543" spans="1:12" ht="15.75" customHeight="1">
      <c r="A543" s="8">
        <v>8300000003</v>
      </c>
      <c r="B543" s="8">
        <v>8300000003</v>
      </c>
      <c r="C543" s="8" t="s">
        <v>673</v>
      </c>
      <c r="D543" s="8" t="s">
        <v>636</v>
      </c>
      <c r="G543" s="8" t="b">
        <v>0</v>
      </c>
      <c r="L543" s="7" t="s">
        <v>1481</v>
      </c>
    </row>
    <row r="544" spans="1:12" ht="15.75" customHeight="1">
      <c r="A544" s="8">
        <v>8300000004</v>
      </c>
      <c r="B544" s="8">
        <v>8300000004</v>
      </c>
      <c r="C544" s="8" t="s">
        <v>674</v>
      </c>
      <c r="D544" s="8" t="s">
        <v>636</v>
      </c>
      <c r="G544" s="8" t="b">
        <v>0</v>
      </c>
      <c r="L544" s="7" t="s">
        <v>1481</v>
      </c>
    </row>
    <row r="545" spans="1:12" ht="15.75" customHeight="1">
      <c r="A545" s="8">
        <v>8300000005</v>
      </c>
      <c r="B545" s="8">
        <v>8300000005</v>
      </c>
      <c r="C545" s="8" t="s">
        <v>675</v>
      </c>
      <c r="D545" s="8" t="s">
        <v>636</v>
      </c>
      <c r="G545" s="8" t="b">
        <v>0</v>
      </c>
      <c r="L545" s="7" t="s">
        <v>1481</v>
      </c>
    </row>
    <row r="546" spans="1:12" ht="15.75" customHeight="1">
      <c r="A546" s="8">
        <v>8300000006</v>
      </c>
      <c r="B546" s="8">
        <v>8300000006</v>
      </c>
      <c r="C546" s="8" t="s">
        <v>676</v>
      </c>
      <c r="D546" s="8" t="s">
        <v>636</v>
      </c>
      <c r="G546" s="8" t="b">
        <v>0</v>
      </c>
      <c r="L546" s="7" t="s">
        <v>1481</v>
      </c>
    </row>
    <row r="547" spans="1:12" ht="15.75" customHeight="1">
      <c r="A547" s="8">
        <v>8300000091</v>
      </c>
      <c r="B547" s="8">
        <v>8300000091</v>
      </c>
      <c r="C547" s="8" t="s">
        <v>677</v>
      </c>
      <c r="G547" s="8" t="b">
        <v>0</v>
      </c>
      <c r="L547" s="7" t="s">
        <v>1481</v>
      </c>
    </row>
    <row r="548" spans="1:12" ht="15.75" customHeight="1">
      <c r="A548" s="8">
        <v>8300000092</v>
      </c>
      <c r="B548" s="8">
        <v>8300000092</v>
      </c>
      <c r="C548" s="8" t="s">
        <v>678</v>
      </c>
      <c r="G548" s="8" t="b">
        <v>0</v>
      </c>
      <c r="L548" s="7" t="s">
        <v>1481</v>
      </c>
    </row>
    <row r="549" spans="1:12" ht="15.75" customHeight="1">
      <c r="A549" s="8">
        <v>8800000001</v>
      </c>
      <c r="B549" s="8">
        <v>8800000001</v>
      </c>
      <c r="C549" s="8" t="s">
        <v>679</v>
      </c>
      <c r="G549" s="8" t="b">
        <v>0</v>
      </c>
      <c r="L549" s="7" t="s">
        <v>1481</v>
      </c>
    </row>
    <row r="550" spans="1:12" ht="15.75" customHeight="1">
      <c r="A550" s="8">
        <v>8900000001</v>
      </c>
      <c r="B550" s="8">
        <v>8900000001</v>
      </c>
      <c r="C550" s="8" t="s">
        <v>680</v>
      </c>
      <c r="G550" s="8" t="b">
        <v>0</v>
      </c>
      <c r="L550" s="7" t="s">
        <v>1481</v>
      </c>
    </row>
    <row r="551" spans="1:12" ht="15.75" customHeight="1">
      <c r="A551" s="8">
        <v>1212300001</v>
      </c>
      <c r="B551" s="8">
        <v>1212300001</v>
      </c>
      <c r="C551" s="8" t="s">
        <v>681</v>
      </c>
      <c r="D551" s="8" t="s">
        <v>243</v>
      </c>
      <c r="G551" s="8" t="b">
        <v>0</v>
      </c>
      <c r="L551" s="7" t="s">
        <v>1481</v>
      </c>
    </row>
    <row r="552" spans="1:12" ht="15.75" customHeight="1">
      <c r="A552" s="8">
        <v>1120000001</v>
      </c>
      <c r="B552" s="8">
        <v>1120000001</v>
      </c>
      <c r="C552" s="8" t="s">
        <v>682</v>
      </c>
      <c r="D552" s="8" t="s">
        <v>243</v>
      </c>
      <c r="G552" s="8" t="b">
        <v>0</v>
      </c>
      <c r="L552" s="7" t="s">
        <v>1481</v>
      </c>
    </row>
    <row r="553" spans="1:12" ht="15.75" customHeight="1">
      <c r="A553" s="8">
        <v>7806000000</v>
      </c>
      <c r="B553" s="8">
        <v>7806000000</v>
      </c>
      <c r="C553" s="8" t="s">
        <v>683</v>
      </c>
      <c r="D553" s="8" t="s">
        <v>636</v>
      </c>
      <c r="G553" s="8" t="b">
        <v>0</v>
      </c>
      <c r="L553" s="7" t="s">
        <v>1481</v>
      </c>
    </row>
    <row r="554" spans="1:12" ht="15.75" customHeight="1">
      <c r="A554" s="8">
        <v>1212300002</v>
      </c>
      <c r="B554" s="8">
        <v>1212300002</v>
      </c>
      <c r="C554" s="8" t="s">
        <v>684</v>
      </c>
      <c r="D554" s="8" t="s">
        <v>463</v>
      </c>
      <c r="G554" s="8" t="b">
        <v>0</v>
      </c>
      <c r="L554" s="7" t="s">
        <v>1481</v>
      </c>
    </row>
    <row r="555" spans="1:12" ht="15.75" customHeight="1"/>
    <row r="556" spans="1:12" ht="15.75" customHeight="1"/>
    <row r="557" spans="1:12" ht="15.75" customHeight="1"/>
    <row r="558" spans="1:12" ht="15.75" customHeight="1"/>
    <row r="559" spans="1:12" ht="15.75" customHeight="1"/>
    <row r="560" spans="1:12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2">
    <mergeCell ref="A1:K1"/>
    <mergeCell ref="A2:K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2" width="18" customWidth="1"/>
    <col min="3" max="3" width="31" customWidth="1"/>
    <col min="4" max="6" width="18" customWidth="1"/>
    <col min="7" max="7" width="23" customWidth="1"/>
    <col min="8" max="8" width="24" customWidth="1"/>
    <col min="9" max="9" width="18" customWidth="1"/>
    <col min="10" max="10" width="26" customWidth="1"/>
    <col min="11" max="11" width="23" customWidth="1"/>
    <col min="12" max="12" width="31" customWidth="1"/>
    <col min="13" max="13" width="30" customWidth="1"/>
    <col min="14" max="14" width="18" customWidth="1"/>
    <col min="15" max="26" width="8.7109375" customWidth="1"/>
  </cols>
  <sheetData>
    <row r="1" spans="1:14" ht="18.75">
      <c r="A1" s="28" t="s">
        <v>685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37.5" customHeight="1">
      <c r="A2" s="31" t="s">
        <v>686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4" spans="1:14">
      <c r="A4" s="1" t="s">
        <v>4</v>
      </c>
      <c r="B4" s="1" t="s">
        <v>5</v>
      </c>
      <c r="C4" s="1" t="s">
        <v>687</v>
      </c>
      <c r="D4" s="1" t="s">
        <v>688</v>
      </c>
      <c r="E4" s="1" t="s">
        <v>689</v>
      </c>
      <c r="F4" s="1" t="s">
        <v>690</v>
      </c>
      <c r="G4" s="1" t="s">
        <v>691</v>
      </c>
      <c r="H4" s="1" t="s">
        <v>692</v>
      </c>
      <c r="I4" s="1" t="s">
        <v>693</v>
      </c>
      <c r="J4" s="1" t="s">
        <v>694</v>
      </c>
      <c r="K4" s="1" t="s">
        <v>695</v>
      </c>
      <c r="L4" s="1" t="s">
        <v>696</v>
      </c>
      <c r="M4" s="1" t="s">
        <v>697</v>
      </c>
      <c r="N4" s="1" t="s">
        <v>698</v>
      </c>
    </row>
    <row r="5" spans="1:14">
      <c r="A5" s="2" t="s">
        <v>75</v>
      </c>
      <c r="B5" s="2" t="s">
        <v>699</v>
      </c>
      <c r="C5" s="3" t="s">
        <v>700</v>
      </c>
      <c r="D5" s="2" t="s">
        <v>701</v>
      </c>
      <c r="E5" s="2" t="s">
        <v>702</v>
      </c>
      <c r="F5" s="2" t="s">
        <v>703</v>
      </c>
      <c r="G5" s="2" t="s">
        <v>704</v>
      </c>
      <c r="H5" s="3" t="s">
        <v>705</v>
      </c>
      <c r="I5" s="2" t="s">
        <v>706</v>
      </c>
      <c r="J5" s="3" t="s">
        <v>707</v>
      </c>
      <c r="K5" s="3" t="s">
        <v>708</v>
      </c>
      <c r="L5" s="3" t="s">
        <v>709</v>
      </c>
      <c r="M5" s="3" t="s">
        <v>710</v>
      </c>
      <c r="N5" s="3" t="s">
        <v>711</v>
      </c>
    </row>
    <row r="6" spans="1:14">
      <c r="A6" s="4" t="s">
        <v>36</v>
      </c>
      <c r="B6" s="4" t="s">
        <v>36</v>
      </c>
      <c r="C6" s="4" t="s">
        <v>38</v>
      </c>
      <c r="D6" s="4" t="s">
        <v>36</v>
      </c>
      <c r="E6" s="4" t="s">
        <v>36</v>
      </c>
      <c r="F6" s="4" t="s">
        <v>36</v>
      </c>
      <c r="G6" s="4" t="s">
        <v>36</v>
      </c>
      <c r="H6" s="4" t="s">
        <v>38</v>
      </c>
      <c r="I6" s="4" t="s">
        <v>36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</row>
    <row r="7" spans="1:14" ht="90" customHeight="1">
      <c r="A7" s="5" t="s">
        <v>712</v>
      </c>
      <c r="B7" s="5"/>
      <c r="C7" s="5"/>
      <c r="D7" s="5" t="s">
        <v>713</v>
      </c>
      <c r="E7" s="5" t="s">
        <v>714</v>
      </c>
      <c r="F7" s="5" t="s">
        <v>715</v>
      </c>
      <c r="G7" s="5" t="s">
        <v>716</v>
      </c>
      <c r="H7" s="5" t="s">
        <v>717</v>
      </c>
      <c r="I7" s="5" t="s">
        <v>718</v>
      </c>
      <c r="J7" s="5" t="s">
        <v>719</v>
      </c>
      <c r="K7" s="5" t="s">
        <v>720</v>
      </c>
      <c r="L7" s="5" t="s">
        <v>721</v>
      </c>
      <c r="M7" s="5" t="s">
        <v>721</v>
      </c>
      <c r="N7" s="5" t="s">
        <v>722</v>
      </c>
    </row>
    <row r="8" spans="1:14" ht="38.25">
      <c r="A8" s="6" t="s">
        <v>723</v>
      </c>
      <c r="B8" s="6" t="s">
        <v>724</v>
      </c>
      <c r="C8" s="6" t="s">
        <v>725</v>
      </c>
      <c r="D8" s="6" t="s">
        <v>726</v>
      </c>
      <c r="E8" s="6" t="s">
        <v>727</v>
      </c>
      <c r="F8" s="6">
        <v>12</v>
      </c>
      <c r="G8" s="6" t="s">
        <v>728</v>
      </c>
      <c r="H8" s="6">
        <v>0.91666666669999997</v>
      </c>
      <c r="I8" s="6" t="s">
        <v>729</v>
      </c>
      <c r="J8" s="6" t="s">
        <v>730</v>
      </c>
      <c r="K8" s="6" t="s">
        <v>63</v>
      </c>
      <c r="L8" s="6" t="s">
        <v>103</v>
      </c>
      <c r="M8" s="6" t="s">
        <v>103</v>
      </c>
      <c r="N8" s="6" t="s">
        <v>56</v>
      </c>
    </row>
    <row r="9" spans="1:14" ht="38.25">
      <c r="A9" s="6" t="s">
        <v>731</v>
      </c>
      <c r="B9" s="6" t="s">
        <v>732</v>
      </c>
      <c r="C9" s="6" t="s">
        <v>725</v>
      </c>
      <c r="D9" s="6" t="s">
        <v>733</v>
      </c>
      <c r="E9" s="6" t="s">
        <v>727</v>
      </c>
      <c r="F9" s="6">
        <v>12</v>
      </c>
      <c r="G9" s="6" t="s">
        <v>728</v>
      </c>
      <c r="H9" s="6">
        <v>0.91666666669999997</v>
      </c>
      <c r="I9" s="6" t="s">
        <v>729</v>
      </c>
      <c r="J9" s="6" t="s">
        <v>730</v>
      </c>
      <c r="K9" s="6" t="s">
        <v>63</v>
      </c>
      <c r="L9" s="6" t="s">
        <v>96</v>
      </c>
      <c r="M9" s="6" t="s">
        <v>96</v>
      </c>
      <c r="N9" s="6" t="s">
        <v>56</v>
      </c>
    </row>
    <row r="10" spans="1:14" ht="25.5">
      <c r="A10" s="6" t="s">
        <v>734</v>
      </c>
      <c r="B10" s="6" t="s">
        <v>735</v>
      </c>
      <c r="C10" s="6" t="s">
        <v>736</v>
      </c>
      <c r="D10" s="6" t="s">
        <v>726</v>
      </c>
      <c r="E10" s="6" t="s">
        <v>727</v>
      </c>
      <c r="F10" s="6">
        <v>12</v>
      </c>
      <c r="G10" s="6" t="s">
        <v>728</v>
      </c>
      <c r="H10" s="6">
        <v>0</v>
      </c>
      <c r="I10" s="6" t="s">
        <v>729</v>
      </c>
      <c r="J10" s="6" t="s">
        <v>730</v>
      </c>
      <c r="K10" s="6" t="s">
        <v>63</v>
      </c>
      <c r="L10" s="6" t="s">
        <v>103</v>
      </c>
      <c r="M10" s="6" t="s">
        <v>103</v>
      </c>
      <c r="N10" s="6" t="s">
        <v>56</v>
      </c>
    </row>
    <row r="11" spans="1:14" ht="38.25">
      <c r="A11" s="6" t="s">
        <v>737</v>
      </c>
      <c r="B11" s="6" t="s">
        <v>738</v>
      </c>
      <c r="C11" s="6" t="s">
        <v>739</v>
      </c>
      <c r="D11" s="6" t="s">
        <v>733</v>
      </c>
      <c r="E11" s="6" t="s">
        <v>727</v>
      </c>
      <c r="F11" s="6">
        <v>-2</v>
      </c>
      <c r="G11" s="6" t="s">
        <v>740</v>
      </c>
      <c r="H11" s="6">
        <v>0</v>
      </c>
      <c r="I11" s="6" t="s">
        <v>741</v>
      </c>
      <c r="J11" s="6" t="s">
        <v>730</v>
      </c>
      <c r="K11" s="6" t="s">
        <v>63</v>
      </c>
      <c r="L11" s="6" t="s">
        <v>105</v>
      </c>
      <c r="M11" s="6" t="s">
        <v>105</v>
      </c>
      <c r="N11" s="6" t="s">
        <v>56</v>
      </c>
    </row>
    <row r="12" spans="1:14" ht="25.5">
      <c r="A12" s="6" t="s">
        <v>742</v>
      </c>
      <c r="B12" s="6" t="s">
        <v>743</v>
      </c>
      <c r="C12" s="6" t="s">
        <v>744</v>
      </c>
      <c r="D12" s="6" t="s">
        <v>733</v>
      </c>
      <c r="E12" s="6" t="s">
        <v>727</v>
      </c>
      <c r="F12" s="6">
        <v>-2.5</v>
      </c>
      <c r="G12" s="6" t="s">
        <v>745</v>
      </c>
      <c r="H12" s="6">
        <v>0</v>
      </c>
      <c r="I12" s="6" t="s">
        <v>746</v>
      </c>
      <c r="J12" s="6" t="s">
        <v>730</v>
      </c>
      <c r="K12" s="6" t="s">
        <v>63</v>
      </c>
      <c r="L12" s="6" t="s">
        <v>106</v>
      </c>
      <c r="M12" s="6" t="s">
        <v>106</v>
      </c>
      <c r="N12" s="6" t="s">
        <v>56</v>
      </c>
    </row>
    <row r="13" spans="1:14">
      <c r="A13" s="6" t="s">
        <v>747</v>
      </c>
      <c r="B13" s="6" t="s">
        <v>748</v>
      </c>
      <c r="C13" s="6" t="s">
        <v>748</v>
      </c>
      <c r="D13" s="6" t="s">
        <v>733</v>
      </c>
      <c r="E13" s="6" t="s">
        <v>727</v>
      </c>
      <c r="F13" s="6">
        <v>12</v>
      </c>
      <c r="G13" s="6" t="s">
        <v>728</v>
      </c>
      <c r="H13" s="6">
        <v>0</v>
      </c>
      <c r="I13" s="6" t="s">
        <v>749</v>
      </c>
      <c r="J13" s="6" t="s">
        <v>730</v>
      </c>
      <c r="K13" s="6" t="s">
        <v>63</v>
      </c>
      <c r="L13" s="6" t="s">
        <v>96</v>
      </c>
      <c r="M13" s="6" t="s">
        <v>96</v>
      </c>
      <c r="N13" s="6" t="s">
        <v>56</v>
      </c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4" width="18" customWidth="1"/>
    <col min="5" max="5" width="31" customWidth="1"/>
    <col min="6" max="6" width="32" customWidth="1"/>
    <col min="7" max="7" width="18" customWidth="1"/>
    <col min="8" max="8" width="28" customWidth="1"/>
    <col min="9" max="9" width="26" customWidth="1"/>
    <col min="10" max="11" width="20" customWidth="1"/>
    <col min="12" max="12" width="18" customWidth="1"/>
    <col min="13" max="26" width="8.7109375" customWidth="1"/>
  </cols>
  <sheetData>
    <row r="1" spans="1:12" ht="18.75">
      <c r="A1" s="28" t="s">
        <v>750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37.5" customHeight="1">
      <c r="A2" s="31" t="s">
        <v>751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2">
      <c r="A4" s="1" t="s">
        <v>4</v>
      </c>
      <c r="B4" s="1" t="s">
        <v>5</v>
      </c>
      <c r="C4" s="1" t="s">
        <v>66</v>
      </c>
      <c r="D4" s="1" t="s">
        <v>752</v>
      </c>
      <c r="E4" s="1" t="s">
        <v>753</v>
      </c>
      <c r="F4" s="1" t="s">
        <v>754</v>
      </c>
      <c r="G4" s="1" t="s">
        <v>7</v>
      </c>
      <c r="H4" s="1" t="s">
        <v>755</v>
      </c>
      <c r="I4" s="1" t="s">
        <v>756</v>
      </c>
      <c r="J4" s="1" t="s">
        <v>757</v>
      </c>
      <c r="K4" s="1" t="s">
        <v>758</v>
      </c>
      <c r="L4" s="1" t="s">
        <v>687</v>
      </c>
    </row>
    <row r="5" spans="1:12">
      <c r="A5" s="2" t="s">
        <v>75</v>
      </c>
      <c r="B5" s="2" t="s">
        <v>759</v>
      </c>
      <c r="C5" s="2" t="s">
        <v>760</v>
      </c>
      <c r="D5" s="2" t="s">
        <v>701</v>
      </c>
      <c r="E5" s="3" t="s">
        <v>761</v>
      </c>
      <c r="F5" s="3" t="s">
        <v>762</v>
      </c>
      <c r="G5" s="3" t="s">
        <v>763</v>
      </c>
      <c r="H5" s="3" t="s">
        <v>764</v>
      </c>
      <c r="I5" s="3" t="s">
        <v>765</v>
      </c>
      <c r="J5" s="3" t="s">
        <v>766</v>
      </c>
      <c r="K5" s="3" t="s">
        <v>767</v>
      </c>
      <c r="L5" s="3" t="s">
        <v>768</v>
      </c>
    </row>
    <row r="6" spans="1:12">
      <c r="A6" s="4" t="s">
        <v>36</v>
      </c>
      <c r="B6" s="4" t="s">
        <v>36</v>
      </c>
      <c r="C6" s="4" t="s">
        <v>36</v>
      </c>
      <c r="D6" s="4" t="s">
        <v>36</v>
      </c>
      <c r="E6" s="4" t="s">
        <v>37</v>
      </c>
      <c r="F6" s="4" t="s">
        <v>38</v>
      </c>
      <c r="G6" s="4" t="s">
        <v>38</v>
      </c>
      <c r="H6" s="4" t="s">
        <v>38</v>
      </c>
      <c r="I6" s="4" t="s">
        <v>38</v>
      </c>
      <c r="J6" s="4" t="s">
        <v>38</v>
      </c>
      <c r="K6" s="4" t="s">
        <v>38</v>
      </c>
      <c r="L6" s="4" t="s">
        <v>38</v>
      </c>
    </row>
    <row r="7" spans="1:12" ht="90" customHeight="1">
      <c r="A7" s="5" t="s">
        <v>769</v>
      </c>
      <c r="B7" s="5"/>
      <c r="C7" s="5" t="s">
        <v>770</v>
      </c>
      <c r="D7" s="5" t="s">
        <v>771</v>
      </c>
      <c r="E7" s="5" t="s">
        <v>772</v>
      </c>
      <c r="F7" s="5" t="s">
        <v>773</v>
      </c>
      <c r="G7" s="5" t="s">
        <v>774</v>
      </c>
      <c r="H7" s="5" t="s">
        <v>720</v>
      </c>
      <c r="I7" s="5" t="s">
        <v>775</v>
      </c>
      <c r="J7" s="5" t="s">
        <v>776</v>
      </c>
      <c r="K7" s="5" t="s">
        <v>777</v>
      </c>
      <c r="L7" s="5"/>
    </row>
    <row r="8" spans="1:12">
      <c r="A8" s="6" t="s">
        <v>57</v>
      </c>
      <c r="B8" s="6" t="s">
        <v>778</v>
      </c>
      <c r="C8" s="6" t="s">
        <v>779</v>
      </c>
      <c r="D8" s="6" t="s">
        <v>726</v>
      </c>
      <c r="E8" s="6"/>
      <c r="F8" s="6"/>
      <c r="G8" s="6" t="s">
        <v>54</v>
      </c>
      <c r="H8" s="6" t="s">
        <v>56</v>
      </c>
      <c r="I8" s="6" t="s">
        <v>56</v>
      </c>
      <c r="J8" s="6" t="s">
        <v>780</v>
      </c>
      <c r="K8" s="6">
        <v>5</v>
      </c>
      <c r="L8" s="6" t="s">
        <v>781</v>
      </c>
    </row>
    <row r="9" spans="1:12">
      <c r="A9" s="6" t="s">
        <v>782</v>
      </c>
      <c r="B9" s="6" t="s">
        <v>783</v>
      </c>
      <c r="C9" s="6" t="s">
        <v>784</v>
      </c>
      <c r="D9" s="6" t="s">
        <v>726</v>
      </c>
      <c r="E9" s="6"/>
      <c r="F9" s="6"/>
      <c r="G9" s="6" t="s">
        <v>54</v>
      </c>
      <c r="H9" s="6" t="s">
        <v>56</v>
      </c>
      <c r="I9" s="6" t="s">
        <v>56</v>
      </c>
      <c r="J9" s="6" t="s">
        <v>785</v>
      </c>
      <c r="K9" s="6">
        <v>5</v>
      </c>
      <c r="L9" s="6"/>
    </row>
    <row r="10" spans="1:12">
      <c r="A10" s="6" t="s">
        <v>58</v>
      </c>
      <c r="B10" s="6" t="s">
        <v>786</v>
      </c>
      <c r="C10" s="6" t="s">
        <v>787</v>
      </c>
      <c r="D10" s="6" t="s">
        <v>733</v>
      </c>
      <c r="E10" s="6"/>
      <c r="F10" s="6"/>
      <c r="G10" s="6" t="s">
        <v>54</v>
      </c>
      <c r="H10" s="6" t="s">
        <v>56</v>
      </c>
      <c r="I10" s="6" t="s">
        <v>56</v>
      </c>
      <c r="J10" s="6" t="s">
        <v>788</v>
      </c>
      <c r="K10" s="6">
        <v>5</v>
      </c>
      <c r="L10" s="6" t="s">
        <v>789</v>
      </c>
    </row>
    <row r="11" spans="1:12">
      <c r="A11" s="6" t="s">
        <v>790</v>
      </c>
      <c r="B11" s="6" t="s">
        <v>87</v>
      </c>
      <c r="C11" s="6" t="s">
        <v>791</v>
      </c>
      <c r="D11" s="6" t="s">
        <v>792</v>
      </c>
      <c r="E11" s="6" t="s">
        <v>86</v>
      </c>
      <c r="F11" s="6"/>
      <c r="G11" s="6" t="s">
        <v>54</v>
      </c>
      <c r="H11" s="6" t="s">
        <v>63</v>
      </c>
      <c r="I11" s="6" t="s">
        <v>56</v>
      </c>
      <c r="J11" s="6"/>
      <c r="K11" s="6">
        <v>5</v>
      </c>
      <c r="L11" s="6"/>
    </row>
    <row r="12" spans="1:12">
      <c r="A12" s="6" t="s">
        <v>793</v>
      </c>
      <c r="B12" s="6" t="s">
        <v>794</v>
      </c>
      <c r="C12" s="6" t="s">
        <v>795</v>
      </c>
      <c r="D12" s="6" t="s">
        <v>796</v>
      </c>
      <c r="E12" s="6" t="s">
        <v>90</v>
      </c>
      <c r="F12" s="6" t="s">
        <v>93</v>
      </c>
      <c r="G12" s="6" t="s">
        <v>54</v>
      </c>
      <c r="H12" s="6" t="s">
        <v>63</v>
      </c>
      <c r="I12" s="6" t="s">
        <v>56</v>
      </c>
      <c r="J12" s="6"/>
      <c r="K12" s="6">
        <v>5</v>
      </c>
      <c r="L12" s="6"/>
    </row>
    <row r="13" spans="1:12">
      <c r="A13" s="6" t="s">
        <v>797</v>
      </c>
      <c r="B13" s="6" t="s">
        <v>798</v>
      </c>
      <c r="C13" s="6" t="s">
        <v>799</v>
      </c>
      <c r="D13" s="6" t="s">
        <v>800</v>
      </c>
      <c r="E13" s="6"/>
      <c r="F13" s="6"/>
      <c r="G13" s="6" t="s">
        <v>54</v>
      </c>
      <c r="H13" s="6" t="s">
        <v>63</v>
      </c>
      <c r="I13" s="6" t="s">
        <v>63</v>
      </c>
      <c r="J13" s="6"/>
      <c r="K13" s="6">
        <v>5</v>
      </c>
      <c r="L13" s="6"/>
    </row>
    <row r="14" spans="1:1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3" width="18" customWidth="1"/>
    <col min="4" max="4" width="30" customWidth="1"/>
    <col min="5" max="5" width="37" customWidth="1"/>
    <col min="6" max="7" width="38" customWidth="1"/>
    <col min="8" max="26" width="8.7109375" customWidth="1"/>
  </cols>
  <sheetData>
    <row r="1" spans="1:7" ht="18.75">
      <c r="A1" s="28" t="s">
        <v>801</v>
      </c>
      <c r="B1" s="29"/>
      <c r="C1" s="29"/>
      <c r="D1" s="29"/>
      <c r="E1" s="29"/>
      <c r="F1" s="29"/>
      <c r="G1" s="29"/>
    </row>
    <row r="2" spans="1:7" ht="37.5" customHeight="1">
      <c r="A2" s="31" t="s">
        <v>802</v>
      </c>
      <c r="B2" s="29"/>
      <c r="C2" s="29"/>
      <c r="D2" s="29"/>
      <c r="E2" s="29"/>
      <c r="F2" s="29"/>
      <c r="G2" s="29"/>
    </row>
    <row r="4" spans="1:7" ht="30">
      <c r="A4" s="1" t="s">
        <v>4</v>
      </c>
      <c r="B4" s="1" t="s">
        <v>5</v>
      </c>
      <c r="C4" s="1" t="s">
        <v>66</v>
      </c>
      <c r="D4" s="1" t="s">
        <v>803</v>
      </c>
      <c r="E4" s="1" t="s">
        <v>804</v>
      </c>
      <c r="F4" s="1" t="s">
        <v>805</v>
      </c>
      <c r="G4" s="1" t="s">
        <v>806</v>
      </c>
    </row>
    <row r="5" spans="1:7">
      <c r="A5" s="2" t="s">
        <v>75</v>
      </c>
      <c r="B5" s="2" t="s">
        <v>807</v>
      </c>
      <c r="C5" s="3" t="s">
        <v>760</v>
      </c>
      <c r="D5" s="2" t="s">
        <v>808</v>
      </c>
      <c r="E5" s="2" t="s">
        <v>809</v>
      </c>
      <c r="F5" s="2" t="s">
        <v>810</v>
      </c>
      <c r="G5" s="2" t="s">
        <v>811</v>
      </c>
    </row>
    <row r="6" spans="1:7">
      <c r="A6" s="4" t="s">
        <v>36</v>
      </c>
      <c r="B6" s="4" t="s">
        <v>36</v>
      </c>
      <c r="C6" s="4" t="s">
        <v>38</v>
      </c>
      <c r="D6" s="4" t="s">
        <v>36</v>
      </c>
      <c r="E6" s="4" t="s">
        <v>36</v>
      </c>
      <c r="F6" s="4" t="s">
        <v>36</v>
      </c>
      <c r="G6" s="4" t="s">
        <v>36</v>
      </c>
    </row>
    <row r="7" spans="1:7" ht="90" customHeight="1">
      <c r="A7" s="5" t="s">
        <v>812</v>
      </c>
      <c r="B7" s="5"/>
      <c r="C7" s="5"/>
      <c r="D7" s="5" t="s">
        <v>813</v>
      </c>
      <c r="E7" s="5" t="s">
        <v>814</v>
      </c>
      <c r="F7" s="5" t="s">
        <v>815</v>
      </c>
      <c r="G7" s="5" t="s">
        <v>815</v>
      </c>
    </row>
    <row r="8" spans="1:7">
      <c r="A8" s="6" t="s">
        <v>816</v>
      </c>
      <c r="B8" s="6" t="s">
        <v>817</v>
      </c>
      <c r="C8" s="6" t="s">
        <v>818</v>
      </c>
      <c r="D8" s="6">
        <v>48</v>
      </c>
      <c r="E8" s="6" t="s">
        <v>97</v>
      </c>
      <c r="F8" s="6" t="s">
        <v>100</v>
      </c>
      <c r="G8" s="6" t="s">
        <v>120</v>
      </c>
    </row>
    <row r="9" spans="1:7">
      <c r="A9" s="6" t="s">
        <v>819</v>
      </c>
      <c r="B9" s="6" t="s">
        <v>820</v>
      </c>
      <c r="C9" s="6" t="s">
        <v>821</v>
      </c>
      <c r="D9" s="6">
        <v>96</v>
      </c>
      <c r="E9" s="6"/>
      <c r="F9" s="6"/>
      <c r="G9" s="6"/>
    </row>
    <row r="10" spans="1:7">
      <c r="A10" s="6" t="s">
        <v>822</v>
      </c>
      <c r="B10" s="6" t="s">
        <v>823</v>
      </c>
      <c r="C10" s="6" t="s">
        <v>824</v>
      </c>
      <c r="D10" s="6">
        <v>60</v>
      </c>
      <c r="E10" s="6"/>
      <c r="F10" s="6"/>
      <c r="G10" s="6"/>
    </row>
    <row r="11" spans="1:7">
      <c r="A11" s="7"/>
      <c r="B11" s="7"/>
      <c r="C11" s="7"/>
      <c r="D11" s="7"/>
      <c r="E11" s="7"/>
      <c r="F11" s="7"/>
      <c r="G11" s="7"/>
    </row>
    <row r="12" spans="1:7">
      <c r="A12" s="7"/>
      <c r="B12" s="7"/>
      <c r="C12" s="7"/>
      <c r="D12" s="7"/>
      <c r="E12" s="7"/>
      <c r="F12" s="7"/>
      <c r="G12" s="7"/>
    </row>
    <row r="13" spans="1:7">
      <c r="A13" s="7"/>
      <c r="B13" s="7"/>
      <c r="C13" s="7"/>
      <c r="D13" s="7"/>
      <c r="E13" s="7"/>
      <c r="F13" s="7"/>
      <c r="G13" s="7"/>
    </row>
    <row r="14" spans="1:7">
      <c r="A14" s="7"/>
      <c r="B14" s="7"/>
      <c r="C14" s="7"/>
      <c r="D14" s="7"/>
      <c r="E14" s="7"/>
      <c r="F14" s="7"/>
      <c r="G14" s="7"/>
    </row>
    <row r="15" spans="1:7">
      <c r="A15" s="7"/>
      <c r="B15" s="7"/>
      <c r="C15" s="7"/>
      <c r="D15" s="7"/>
      <c r="E15" s="7"/>
      <c r="F15" s="7"/>
      <c r="G15" s="7"/>
    </row>
    <row r="16" spans="1:7">
      <c r="A16" s="7"/>
      <c r="B16" s="7"/>
      <c r="C16" s="7"/>
      <c r="D16" s="7"/>
      <c r="E16" s="7"/>
      <c r="F16" s="7"/>
      <c r="G16" s="7"/>
    </row>
    <row r="17" spans="1:7">
      <c r="A17" s="7"/>
      <c r="B17" s="7"/>
      <c r="C17" s="7"/>
      <c r="D17" s="7"/>
      <c r="E17" s="7"/>
      <c r="F17" s="7"/>
      <c r="G17" s="7"/>
    </row>
    <row r="18" spans="1:7">
      <c r="A18" s="7"/>
      <c r="B18" s="7"/>
      <c r="C18" s="7"/>
      <c r="D18" s="7"/>
      <c r="E18" s="7"/>
      <c r="F18" s="7"/>
      <c r="G18" s="7"/>
    </row>
    <row r="19" spans="1:7">
      <c r="A19" s="7"/>
      <c r="B19" s="7"/>
      <c r="C19" s="7"/>
      <c r="D19" s="7"/>
      <c r="E19" s="7"/>
      <c r="F19" s="7"/>
      <c r="G19" s="7"/>
    </row>
    <row r="20" spans="1:7">
      <c r="A20" s="7"/>
      <c r="B20" s="7"/>
      <c r="C20" s="7"/>
      <c r="D20" s="7"/>
      <c r="E20" s="7"/>
      <c r="F20" s="7"/>
      <c r="G20" s="7"/>
    </row>
    <row r="21" spans="1:7" ht="15.75" customHeight="1">
      <c r="A21" s="7"/>
      <c r="B21" s="7"/>
      <c r="C21" s="7"/>
      <c r="D21" s="7"/>
      <c r="E21" s="7"/>
      <c r="F21" s="7"/>
      <c r="G21" s="7"/>
    </row>
    <row r="22" spans="1:7" ht="15.75" customHeight="1">
      <c r="A22" s="7"/>
      <c r="B22" s="7"/>
      <c r="C22" s="7"/>
      <c r="D22" s="7"/>
      <c r="E22" s="7"/>
      <c r="F22" s="7"/>
      <c r="G22" s="7"/>
    </row>
    <row r="23" spans="1:7" ht="15.75" customHeight="1">
      <c r="A23" s="7"/>
      <c r="B23" s="7"/>
      <c r="C23" s="7"/>
      <c r="D23" s="7"/>
      <c r="E23" s="7"/>
      <c r="F23" s="7"/>
      <c r="G23" s="7"/>
    </row>
    <row r="24" spans="1:7" ht="15.75" customHeight="1">
      <c r="A24" s="7"/>
      <c r="B24" s="7"/>
      <c r="C24" s="7"/>
      <c r="D24" s="7"/>
      <c r="E24" s="7"/>
      <c r="F24" s="7"/>
      <c r="G24" s="7"/>
    </row>
    <row r="25" spans="1:7" ht="15.75" customHeight="1">
      <c r="A25" s="7"/>
      <c r="B25" s="7"/>
      <c r="C25" s="7"/>
      <c r="D25" s="7"/>
      <c r="E25" s="7"/>
      <c r="F25" s="7"/>
      <c r="G25" s="7"/>
    </row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5" right="0.75" top="1" bottom="1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3" width="18" customWidth="1"/>
    <col min="4" max="4" width="22" customWidth="1"/>
    <col min="5" max="6" width="18" customWidth="1"/>
    <col min="7" max="26" width="8.7109375" customWidth="1"/>
  </cols>
  <sheetData>
    <row r="1" spans="1:6" ht="18.75">
      <c r="A1" s="28" t="s">
        <v>825</v>
      </c>
      <c r="B1" s="29"/>
      <c r="C1" s="29"/>
      <c r="D1" s="29"/>
      <c r="E1" s="29"/>
      <c r="F1" s="29"/>
    </row>
    <row r="2" spans="1:6" ht="37.5" customHeight="1">
      <c r="A2" s="31" t="s">
        <v>826</v>
      </c>
      <c r="B2" s="29"/>
      <c r="C2" s="29"/>
      <c r="D2" s="29"/>
      <c r="E2" s="29"/>
      <c r="F2" s="29"/>
    </row>
    <row r="4" spans="1:6">
      <c r="A4" s="1" t="s">
        <v>4</v>
      </c>
      <c r="B4" s="1" t="s">
        <v>5</v>
      </c>
      <c r="C4" s="1" t="s">
        <v>66</v>
      </c>
      <c r="D4" s="1" t="s">
        <v>827</v>
      </c>
      <c r="E4" s="1" t="s">
        <v>828</v>
      </c>
      <c r="F4" s="1" t="s">
        <v>74</v>
      </c>
    </row>
    <row r="5" spans="1:6">
      <c r="A5" s="2" t="s">
        <v>75</v>
      </c>
      <c r="B5" s="2" t="s">
        <v>829</v>
      </c>
      <c r="C5" s="3" t="s">
        <v>760</v>
      </c>
      <c r="D5" s="3" t="s">
        <v>830</v>
      </c>
      <c r="E5" s="3" t="s">
        <v>831</v>
      </c>
      <c r="F5" s="3" t="s">
        <v>85</v>
      </c>
    </row>
    <row r="6" spans="1:6">
      <c r="A6" s="4" t="s">
        <v>36</v>
      </c>
      <c r="B6" s="4" t="s">
        <v>36</v>
      </c>
      <c r="C6" s="4" t="s">
        <v>38</v>
      </c>
      <c r="D6" s="4" t="s">
        <v>38</v>
      </c>
      <c r="E6" s="4" t="s">
        <v>38</v>
      </c>
      <c r="F6" s="4" t="s">
        <v>38</v>
      </c>
    </row>
    <row r="7" spans="1:6" ht="90" customHeight="1">
      <c r="A7" s="5" t="s">
        <v>832</v>
      </c>
      <c r="B7" s="5" t="s">
        <v>833</v>
      </c>
      <c r="C7" s="5" t="s">
        <v>834</v>
      </c>
      <c r="D7" s="5" t="s">
        <v>835</v>
      </c>
      <c r="E7" s="5" t="s">
        <v>836</v>
      </c>
      <c r="F7" s="5" t="s">
        <v>837</v>
      </c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 ht="15.75" customHeight="1">
      <c r="A21" s="7"/>
      <c r="B21" s="7"/>
      <c r="C21" s="7"/>
      <c r="D21" s="7"/>
      <c r="E21" s="7"/>
      <c r="F21" s="7"/>
    </row>
    <row r="22" spans="1:6" ht="15.75" customHeight="1">
      <c r="A22" s="7"/>
      <c r="B22" s="7"/>
      <c r="C22" s="7"/>
      <c r="D22" s="7"/>
      <c r="E22" s="7"/>
      <c r="F22" s="7"/>
    </row>
    <row r="23" spans="1:6" ht="15.75" customHeight="1">
      <c r="A23" s="7"/>
      <c r="B23" s="7"/>
      <c r="C23" s="7"/>
      <c r="D23" s="7"/>
      <c r="E23" s="7"/>
      <c r="F23" s="7"/>
    </row>
    <row r="24" spans="1:6" ht="15.75" customHeight="1">
      <c r="A24" s="7"/>
      <c r="B24" s="7"/>
      <c r="C24" s="7"/>
      <c r="D24" s="7"/>
      <c r="E24" s="7"/>
      <c r="F24" s="7"/>
    </row>
    <row r="25" spans="1:6" ht="15.75" customHeight="1">
      <c r="A25" s="7"/>
      <c r="B25" s="7"/>
      <c r="C25" s="7"/>
      <c r="D25" s="7"/>
      <c r="E25" s="7"/>
      <c r="F25" s="7"/>
    </row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5" right="0.75" top="1" bottom="1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2" width="18" customWidth="1"/>
    <col min="3" max="4" width="24" customWidth="1"/>
    <col min="5" max="5" width="22" customWidth="1"/>
    <col min="6" max="6" width="36" customWidth="1"/>
    <col min="7" max="7" width="37" customWidth="1"/>
    <col min="8" max="10" width="38" customWidth="1"/>
    <col min="11" max="11" width="18" customWidth="1"/>
    <col min="12" max="26" width="8.7109375" customWidth="1"/>
  </cols>
  <sheetData>
    <row r="1" spans="1:26" ht="18.75">
      <c r="A1" s="28" t="s">
        <v>838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26" ht="37.5" customHeight="1">
      <c r="A2" s="31" t="s">
        <v>839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26" ht="30">
      <c r="A4" s="1" t="s">
        <v>4</v>
      </c>
      <c r="B4" s="1" t="s">
        <v>5</v>
      </c>
      <c r="C4" s="1" t="s">
        <v>827</v>
      </c>
      <c r="D4" s="1" t="s">
        <v>840</v>
      </c>
      <c r="E4" s="1" t="s">
        <v>841</v>
      </c>
      <c r="F4" s="1" t="s">
        <v>842</v>
      </c>
      <c r="G4" s="1" t="s">
        <v>843</v>
      </c>
      <c r="H4" s="1" t="s">
        <v>844</v>
      </c>
      <c r="I4" s="1" t="s">
        <v>845</v>
      </c>
      <c r="J4" s="1" t="s">
        <v>846</v>
      </c>
      <c r="K4" s="1" t="s">
        <v>74</v>
      </c>
    </row>
    <row r="5" spans="1:26">
      <c r="A5" s="2" t="s">
        <v>75</v>
      </c>
      <c r="B5" s="2" t="s">
        <v>847</v>
      </c>
      <c r="C5" s="3" t="s">
        <v>848</v>
      </c>
      <c r="D5" s="3" t="s">
        <v>849</v>
      </c>
      <c r="E5" s="3" t="s">
        <v>850</v>
      </c>
      <c r="F5" s="3" t="s">
        <v>851</v>
      </c>
      <c r="G5" s="3" t="s">
        <v>852</v>
      </c>
      <c r="H5" s="3" t="s">
        <v>853</v>
      </c>
      <c r="I5" s="3" t="s">
        <v>854</v>
      </c>
      <c r="J5" s="3" t="s">
        <v>855</v>
      </c>
      <c r="K5" s="3" t="s">
        <v>85</v>
      </c>
    </row>
    <row r="6" spans="1:26">
      <c r="A6" s="4" t="s">
        <v>36</v>
      </c>
      <c r="B6" s="4" t="s">
        <v>36</v>
      </c>
      <c r="C6" s="4" t="s">
        <v>38</v>
      </c>
      <c r="D6" s="4" t="s">
        <v>38</v>
      </c>
      <c r="E6" s="4" t="s">
        <v>38</v>
      </c>
      <c r="F6" s="4" t="s">
        <v>38</v>
      </c>
      <c r="G6" s="4" t="s">
        <v>38</v>
      </c>
      <c r="H6" s="4" t="s">
        <v>38</v>
      </c>
      <c r="I6" s="4" t="s">
        <v>38</v>
      </c>
      <c r="J6" s="4" t="s">
        <v>38</v>
      </c>
      <c r="K6" s="4" t="s">
        <v>38</v>
      </c>
    </row>
    <row r="7" spans="1:26" ht="90" customHeight="1">
      <c r="A7" s="5" t="s">
        <v>856</v>
      </c>
      <c r="B7" s="5" t="s">
        <v>857</v>
      </c>
      <c r="C7" s="5" t="s">
        <v>858</v>
      </c>
      <c r="D7" s="5" t="s">
        <v>859</v>
      </c>
      <c r="E7" s="5" t="s">
        <v>860</v>
      </c>
      <c r="F7" s="5" t="s">
        <v>861</v>
      </c>
      <c r="G7" s="5" t="s">
        <v>862</v>
      </c>
      <c r="H7" s="5" t="s">
        <v>863</v>
      </c>
      <c r="I7" s="5" t="s">
        <v>863</v>
      </c>
      <c r="J7" s="5" t="s">
        <v>863</v>
      </c>
      <c r="K7" s="5" t="s">
        <v>864</v>
      </c>
    </row>
    <row r="8" spans="1:26">
      <c r="A8" s="6" t="s">
        <v>865</v>
      </c>
      <c r="B8" s="6" t="s">
        <v>866</v>
      </c>
      <c r="C8" s="6"/>
      <c r="D8" s="6" t="s">
        <v>867</v>
      </c>
      <c r="E8" s="6" t="s">
        <v>868</v>
      </c>
      <c r="F8" s="6" t="s">
        <v>109</v>
      </c>
      <c r="G8" s="6" t="s">
        <v>115</v>
      </c>
      <c r="H8" s="6"/>
      <c r="I8" s="6"/>
      <c r="J8" s="6"/>
      <c r="K8" s="6" t="s">
        <v>869</v>
      </c>
    </row>
    <row r="9" spans="1:26" ht="25.5">
      <c r="A9" s="6" t="s">
        <v>870</v>
      </c>
      <c r="B9" s="6" t="s">
        <v>871</v>
      </c>
      <c r="C9" s="6" t="s">
        <v>865</v>
      </c>
      <c r="D9" s="6" t="s">
        <v>872</v>
      </c>
      <c r="E9" s="6" t="s">
        <v>873</v>
      </c>
      <c r="F9" s="6" t="s">
        <v>109</v>
      </c>
      <c r="G9" s="6" t="s">
        <v>115</v>
      </c>
      <c r="H9" s="6" t="s">
        <v>94</v>
      </c>
      <c r="I9" s="6" t="s">
        <v>95</v>
      </c>
      <c r="J9" s="6" t="s">
        <v>93</v>
      </c>
      <c r="K9" s="6" t="s">
        <v>874</v>
      </c>
    </row>
    <row r="10" spans="1:26">
      <c r="A10" s="6" t="s">
        <v>875</v>
      </c>
      <c r="B10" s="6" t="s">
        <v>876</v>
      </c>
      <c r="C10" s="6" t="s">
        <v>865</v>
      </c>
      <c r="D10" s="6"/>
      <c r="E10" s="6"/>
      <c r="F10" s="6"/>
      <c r="G10" s="6"/>
      <c r="H10" s="6"/>
      <c r="I10" s="6"/>
      <c r="J10" s="6"/>
      <c r="K10" s="6" t="s">
        <v>877</v>
      </c>
    </row>
    <row r="11" spans="1:26">
      <c r="A11" s="6" t="s">
        <v>878</v>
      </c>
      <c r="B11" s="6" t="s">
        <v>879</v>
      </c>
      <c r="C11" s="6"/>
      <c r="D11" s="6"/>
      <c r="E11" s="6"/>
      <c r="F11" s="6" t="s">
        <v>112</v>
      </c>
      <c r="G11" s="6"/>
      <c r="H11" s="6"/>
      <c r="I11" s="6"/>
      <c r="J11" s="6"/>
      <c r="K11" s="6" t="s">
        <v>880</v>
      </c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26">
      <c r="A13" s="7"/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7"/>
      <c r="C14" s="7"/>
      <c r="D14" s="7"/>
      <c r="E14" s="7"/>
      <c r="F14" s="7"/>
      <c r="G14" s="7"/>
      <c r="H14" s="7"/>
      <c r="I14" s="7"/>
      <c r="J14" s="7"/>
      <c r="K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8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1" width="18" customWidth="1"/>
    <col min="2" max="2" width="21" customWidth="1"/>
    <col min="3" max="3" width="18" customWidth="1"/>
    <col min="4" max="4" width="22" customWidth="1"/>
    <col min="5" max="5" width="18" customWidth="1"/>
    <col min="6" max="6" width="26" customWidth="1"/>
    <col min="7" max="12" width="18" customWidth="1"/>
    <col min="13" max="13" width="21" customWidth="1"/>
    <col min="14" max="18" width="18" customWidth="1"/>
    <col min="19" max="19" width="25" customWidth="1"/>
    <col min="20" max="20" width="31" customWidth="1"/>
    <col min="21" max="21" width="22" customWidth="1"/>
    <col min="22" max="22" width="27" customWidth="1"/>
    <col min="23" max="23" width="30" customWidth="1"/>
    <col min="24" max="24" width="18" customWidth="1"/>
    <col min="25" max="25" width="22" customWidth="1"/>
    <col min="26" max="26" width="18" customWidth="1"/>
  </cols>
  <sheetData>
    <row r="1" spans="1:26" ht="18.75">
      <c r="A1" s="28" t="s">
        <v>881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37.5" customHeight="1">
      <c r="A2" s="31" t="s">
        <v>882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4" spans="1:26">
      <c r="A4" s="1" t="s">
        <v>4</v>
      </c>
      <c r="B4" s="1" t="s">
        <v>5</v>
      </c>
      <c r="C4" s="1" t="s">
        <v>883</v>
      </c>
      <c r="D4" s="1" t="s">
        <v>827</v>
      </c>
      <c r="E4" s="1" t="s">
        <v>6</v>
      </c>
      <c r="F4" s="1" t="s">
        <v>884</v>
      </c>
      <c r="G4" s="1" t="s">
        <v>885</v>
      </c>
      <c r="H4" s="1" t="s">
        <v>8</v>
      </c>
      <c r="I4" s="1" t="s">
        <v>886</v>
      </c>
      <c r="J4" s="1" t="s">
        <v>887</v>
      </c>
      <c r="K4" s="1" t="s">
        <v>888</v>
      </c>
      <c r="L4" s="1" t="s">
        <v>889</v>
      </c>
      <c r="M4" s="1" t="s">
        <v>890</v>
      </c>
      <c r="N4" s="1" t="s">
        <v>891</v>
      </c>
      <c r="O4" s="1" t="s">
        <v>892</v>
      </c>
      <c r="P4" s="1" t="s">
        <v>893</v>
      </c>
      <c r="Q4" s="1" t="s">
        <v>894</v>
      </c>
      <c r="R4" s="1" t="s">
        <v>895</v>
      </c>
      <c r="S4" s="1" t="s">
        <v>896</v>
      </c>
      <c r="T4" s="1" t="s">
        <v>897</v>
      </c>
      <c r="U4" s="1" t="s">
        <v>898</v>
      </c>
      <c r="V4" s="1" t="s">
        <v>899</v>
      </c>
      <c r="W4" s="1" t="s">
        <v>900</v>
      </c>
      <c r="X4" s="1" t="s">
        <v>901</v>
      </c>
      <c r="Y4" s="1" t="s">
        <v>902</v>
      </c>
      <c r="Z4" s="1" t="s">
        <v>903</v>
      </c>
    </row>
    <row r="5" spans="1:26">
      <c r="A5" s="2" t="s">
        <v>75</v>
      </c>
      <c r="B5" s="2" t="s">
        <v>904</v>
      </c>
      <c r="C5" s="2" t="s">
        <v>905</v>
      </c>
      <c r="D5" s="3" t="s">
        <v>830</v>
      </c>
      <c r="E5" s="3" t="s">
        <v>906</v>
      </c>
      <c r="F5" s="3" t="s">
        <v>907</v>
      </c>
      <c r="G5" s="3" t="s">
        <v>908</v>
      </c>
      <c r="H5" s="3" t="s">
        <v>24</v>
      </c>
      <c r="I5" s="3" t="s">
        <v>909</v>
      </c>
      <c r="J5" s="3" t="s">
        <v>910</v>
      </c>
      <c r="K5" s="3" t="s">
        <v>911</v>
      </c>
      <c r="L5" s="3" t="s">
        <v>831</v>
      </c>
      <c r="M5" s="3" t="s">
        <v>912</v>
      </c>
      <c r="N5" s="3" t="s">
        <v>913</v>
      </c>
      <c r="O5" s="3" t="s">
        <v>914</v>
      </c>
      <c r="P5" s="3" t="s">
        <v>915</v>
      </c>
      <c r="Q5" s="3" t="s">
        <v>916</v>
      </c>
      <c r="R5" s="2" t="s">
        <v>917</v>
      </c>
      <c r="S5" s="3" t="s">
        <v>918</v>
      </c>
      <c r="T5" s="3" t="s">
        <v>919</v>
      </c>
      <c r="U5" s="3" t="s">
        <v>920</v>
      </c>
      <c r="V5" s="3" t="s">
        <v>921</v>
      </c>
      <c r="W5" s="3" t="s">
        <v>922</v>
      </c>
      <c r="X5" s="3" t="s">
        <v>923</v>
      </c>
      <c r="Y5" s="3" t="s">
        <v>924</v>
      </c>
      <c r="Z5" s="3" t="s">
        <v>85</v>
      </c>
    </row>
    <row r="6" spans="1:26">
      <c r="A6" s="4" t="s">
        <v>36</v>
      </c>
      <c r="B6" s="4" t="s">
        <v>36</v>
      </c>
      <c r="C6" s="4" t="s">
        <v>36</v>
      </c>
      <c r="D6" s="4" t="s">
        <v>38</v>
      </c>
      <c r="E6" s="4" t="s">
        <v>37</v>
      </c>
      <c r="F6" s="4" t="s">
        <v>38</v>
      </c>
      <c r="G6" s="4" t="s">
        <v>37</v>
      </c>
      <c r="H6" s="4" t="s">
        <v>38</v>
      </c>
      <c r="I6" s="4" t="s">
        <v>38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  <c r="O6" s="4" t="s">
        <v>38</v>
      </c>
      <c r="P6" s="4" t="s">
        <v>38</v>
      </c>
      <c r="Q6" s="4" t="s">
        <v>38</v>
      </c>
      <c r="R6" s="4" t="s">
        <v>36</v>
      </c>
      <c r="S6" s="4" t="s">
        <v>38</v>
      </c>
      <c r="T6" s="4" t="s">
        <v>38</v>
      </c>
      <c r="U6" s="4" t="s">
        <v>38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</row>
    <row r="7" spans="1:26" ht="90" customHeight="1">
      <c r="A7" s="5" t="s">
        <v>925</v>
      </c>
      <c r="B7" s="5" t="s">
        <v>926</v>
      </c>
      <c r="C7" s="5" t="s">
        <v>927</v>
      </c>
      <c r="D7" s="5" t="s">
        <v>928</v>
      </c>
      <c r="E7" s="5" t="s">
        <v>929</v>
      </c>
      <c r="F7" s="5" t="s">
        <v>930</v>
      </c>
      <c r="G7" s="5" t="s">
        <v>931</v>
      </c>
      <c r="H7" s="5" t="s">
        <v>932</v>
      </c>
      <c r="I7" s="5"/>
      <c r="J7" s="5"/>
      <c r="K7" s="5"/>
      <c r="L7" s="5"/>
      <c r="M7" s="5"/>
      <c r="N7" s="5"/>
      <c r="O7" s="5"/>
      <c r="P7" s="5"/>
      <c r="Q7" s="5"/>
      <c r="R7" s="5" t="s">
        <v>933</v>
      </c>
      <c r="S7" s="5" t="s">
        <v>934</v>
      </c>
      <c r="T7" s="5" t="s">
        <v>935</v>
      </c>
      <c r="U7" s="5" t="s">
        <v>936</v>
      </c>
      <c r="V7" s="5" t="s">
        <v>937</v>
      </c>
      <c r="W7" s="5" t="s">
        <v>938</v>
      </c>
      <c r="X7" s="5"/>
      <c r="Y7" s="5"/>
      <c r="Z7" s="5"/>
    </row>
    <row r="8" spans="1:26" ht="25.5">
      <c r="A8" s="6" t="s">
        <v>939</v>
      </c>
      <c r="B8" s="6" t="s">
        <v>940</v>
      </c>
      <c r="C8" s="6" t="s">
        <v>56</v>
      </c>
      <c r="D8" s="6"/>
      <c r="E8" s="6" t="s">
        <v>941</v>
      </c>
      <c r="F8" s="6" t="s">
        <v>942</v>
      </c>
      <c r="G8" s="6"/>
      <c r="H8" s="6" t="s">
        <v>55</v>
      </c>
      <c r="I8" s="6" t="s">
        <v>943</v>
      </c>
      <c r="J8" s="6" t="s">
        <v>944</v>
      </c>
      <c r="K8" s="6" t="s">
        <v>945</v>
      </c>
      <c r="L8" s="6" t="s">
        <v>946</v>
      </c>
      <c r="M8" s="6"/>
      <c r="N8" s="6" t="s">
        <v>947</v>
      </c>
      <c r="O8" s="6" t="s">
        <v>948</v>
      </c>
      <c r="P8" s="6" t="s">
        <v>949</v>
      </c>
      <c r="Q8" s="6" t="s">
        <v>950</v>
      </c>
      <c r="R8" s="6">
        <v>1</v>
      </c>
      <c r="S8" s="6" t="s">
        <v>951</v>
      </c>
      <c r="T8" s="6"/>
      <c r="U8" s="6">
        <v>500000000</v>
      </c>
      <c r="V8" s="6" t="s">
        <v>56</v>
      </c>
      <c r="W8" s="6"/>
      <c r="X8" s="6" t="s">
        <v>952</v>
      </c>
      <c r="Y8" s="6"/>
      <c r="Z8" s="6" t="s">
        <v>953</v>
      </c>
    </row>
    <row r="9" spans="1:26" ht="25.5">
      <c r="A9" s="6" t="s">
        <v>954</v>
      </c>
      <c r="B9" s="6" t="s">
        <v>955</v>
      </c>
      <c r="C9" s="6" t="s">
        <v>63</v>
      </c>
      <c r="D9" s="6" t="s">
        <v>939</v>
      </c>
      <c r="E9" s="6"/>
      <c r="F9" s="6"/>
      <c r="G9" s="6" t="s">
        <v>956</v>
      </c>
      <c r="H9" s="6" t="s">
        <v>55</v>
      </c>
      <c r="I9" s="6" t="s">
        <v>943</v>
      </c>
      <c r="J9" s="6" t="s">
        <v>944</v>
      </c>
      <c r="K9" s="6" t="s">
        <v>945</v>
      </c>
      <c r="L9" s="6"/>
      <c r="M9" s="6"/>
      <c r="N9" s="6"/>
      <c r="O9" s="6" t="s">
        <v>957</v>
      </c>
      <c r="P9" s="6" t="s">
        <v>958</v>
      </c>
      <c r="Q9" s="6"/>
      <c r="R9" s="6">
        <v>1</v>
      </c>
      <c r="S9" s="6"/>
      <c r="T9" s="6"/>
      <c r="U9" s="6">
        <v>0</v>
      </c>
      <c r="V9" s="6" t="s">
        <v>63</v>
      </c>
      <c r="W9" s="6"/>
      <c r="X9" s="6"/>
      <c r="Y9" s="6"/>
      <c r="Z9" s="6" t="s">
        <v>959</v>
      </c>
    </row>
    <row r="10" spans="1:26" ht="25.5">
      <c r="A10" s="6" t="s">
        <v>960</v>
      </c>
      <c r="B10" s="6" t="s">
        <v>961</v>
      </c>
      <c r="C10" s="6" t="s">
        <v>56</v>
      </c>
      <c r="D10" s="6"/>
      <c r="E10" s="6" t="s">
        <v>962</v>
      </c>
      <c r="F10" s="6" t="s">
        <v>942</v>
      </c>
      <c r="G10" s="6"/>
      <c r="H10" s="6" t="s">
        <v>55</v>
      </c>
      <c r="I10" s="6" t="s">
        <v>963</v>
      </c>
      <c r="J10" s="6" t="s">
        <v>964</v>
      </c>
      <c r="K10" s="6" t="s">
        <v>965</v>
      </c>
      <c r="L10" s="6" t="s">
        <v>966</v>
      </c>
      <c r="M10" s="6"/>
      <c r="N10" s="6"/>
      <c r="O10" s="6"/>
      <c r="P10" s="6" t="s">
        <v>967</v>
      </c>
      <c r="Q10" s="6"/>
      <c r="R10" s="6">
        <v>1</v>
      </c>
      <c r="S10" s="6" t="s">
        <v>968</v>
      </c>
      <c r="T10" s="6"/>
      <c r="U10" s="6">
        <v>100000000</v>
      </c>
      <c r="V10" s="6" t="s">
        <v>56</v>
      </c>
      <c r="W10" s="6"/>
      <c r="X10" s="6" t="s">
        <v>952</v>
      </c>
      <c r="Y10" s="6"/>
      <c r="Z10" s="6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1" t="s">
        <v>969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7"/>
      <c r="B13" s="7" t="s">
        <v>970</v>
      </c>
      <c r="C13" s="7" t="b">
        <v>1</v>
      </c>
      <c r="D13" s="7"/>
      <c r="E13" s="7">
        <v>31882004012000</v>
      </c>
      <c r="F13" s="7"/>
      <c r="G13" s="7"/>
      <c r="H13" s="7"/>
      <c r="I13" s="7"/>
      <c r="J13" s="7"/>
      <c r="K13" s="7"/>
      <c r="L13" s="7"/>
      <c r="M13" s="7"/>
      <c r="N13" s="7" t="s">
        <v>971</v>
      </c>
      <c r="O13" s="7"/>
      <c r="P13" s="7"/>
      <c r="Q13" s="7"/>
      <c r="R13" s="7">
        <v>1</v>
      </c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 t="s">
        <v>972</v>
      </c>
      <c r="C14" s="7" t="b">
        <v>1</v>
      </c>
      <c r="D14" s="7"/>
      <c r="E14" s="7">
        <v>620408674047000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>
        <v>1</v>
      </c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 t="s">
        <v>973</v>
      </c>
      <c r="C15" s="7" t="b">
        <v>1</v>
      </c>
      <c r="D15" s="7"/>
      <c r="E15" s="7">
        <v>229183215033000</v>
      </c>
      <c r="F15" s="7"/>
      <c r="G15" s="7"/>
      <c r="H15" s="7"/>
      <c r="I15" s="7"/>
      <c r="J15" s="7"/>
      <c r="K15" s="7"/>
      <c r="L15" s="7"/>
      <c r="M15" s="7"/>
      <c r="N15" s="7" t="s">
        <v>974</v>
      </c>
      <c r="O15" s="7"/>
      <c r="P15" s="7"/>
      <c r="Q15" s="7"/>
      <c r="R15" s="7">
        <v>1</v>
      </c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 t="s">
        <v>975</v>
      </c>
      <c r="C16" s="7" t="b">
        <v>1</v>
      </c>
      <c r="D16" s="7"/>
      <c r="E16" s="7">
        <v>28752095073000</v>
      </c>
      <c r="F16" s="7"/>
      <c r="G16" s="7"/>
      <c r="H16" s="7"/>
      <c r="I16" s="7"/>
      <c r="J16" s="7"/>
      <c r="K16" s="7"/>
      <c r="L16" s="7"/>
      <c r="M16" s="7"/>
      <c r="N16" s="7" t="s">
        <v>976</v>
      </c>
      <c r="O16" s="7"/>
      <c r="P16" s="7"/>
      <c r="Q16" s="7"/>
      <c r="R16" s="7">
        <v>1</v>
      </c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 t="s">
        <v>977</v>
      </c>
      <c r="C17" s="7" t="b">
        <v>1</v>
      </c>
      <c r="D17" s="7"/>
      <c r="E17" s="7">
        <v>23110679073000</v>
      </c>
      <c r="F17" s="7"/>
      <c r="G17" s="7"/>
      <c r="H17" s="7"/>
      <c r="I17" s="7"/>
      <c r="J17" s="7"/>
      <c r="K17" s="7"/>
      <c r="L17" s="7"/>
      <c r="M17" s="7"/>
      <c r="N17" s="7" t="s">
        <v>978</v>
      </c>
      <c r="O17" s="7"/>
      <c r="P17" s="7"/>
      <c r="Q17" s="7"/>
      <c r="R17" s="7">
        <v>1</v>
      </c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 t="s">
        <v>979</v>
      </c>
      <c r="C18" s="7" t="b">
        <v>1</v>
      </c>
      <c r="D18" s="7"/>
      <c r="E18" s="7">
        <v>24356321036000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</v>
      </c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 t="s">
        <v>980</v>
      </c>
      <c r="C19" s="7" t="b">
        <v>1</v>
      </c>
      <c r="D19" s="7"/>
      <c r="E19" s="7">
        <v>10027175046000</v>
      </c>
      <c r="F19" s="7"/>
      <c r="G19" s="7"/>
      <c r="H19" s="7"/>
      <c r="I19" s="7"/>
      <c r="J19" s="7"/>
      <c r="K19" s="7"/>
      <c r="L19" s="7"/>
      <c r="M19" s="7"/>
      <c r="N19" s="7" t="s">
        <v>981</v>
      </c>
      <c r="O19" s="7"/>
      <c r="P19" s="7"/>
      <c r="Q19" s="7"/>
      <c r="R19" s="7">
        <v>1</v>
      </c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 t="s">
        <v>982</v>
      </c>
      <c r="C20" s="7" t="b">
        <v>1</v>
      </c>
      <c r="D20" s="7"/>
      <c r="E20" s="7">
        <v>22502181018000</v>
      </c>
      <c r="F20" s="7"/>
      <c r="G20" s="7"/>
      <c r="H20" s="7"/>
      <c r="I20" s="7"/>
      <c r="J20" s="7"/>
      <c r="K20" s="7"/>
      <c r="L20" s="7"/>
      <c r="M20" s="7"/>
      <c r="N20" s="7" t="s">
        <v>983</v>
      </c>
      <c r="O20" s="7"/>
      <c r="P20" s="7"/>
      <c r="Q20" s="7"/>
      <c r="R20" s="7">
        <v>1</v>
      </c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 t="s">
        <v>984</v>
      </c>
      <c r="C21" s="7" t="b">
        <v>1</v>
      </c>
      <c r="D21" s="7"/>
      <c r="E21" s="7">
        <v>855133872039000</v>
      </c>
      <c r="F21" s="7"/>
      <c r="G21" s="7"/>
      <c r="H21" s="7"/>
      <c r="I21" s="7"/>
      <c r="J21" s="7"/>
      <c r="K21" s="7"/>
      <c r="L21" s="7"/>
      <c r="M21" s="7"/>
      <c r="N21" s="7" t="s">
        <v>985</v>
      </c>
      <c r="O21" s="7"/>
      <c r="P21" s="7"/>
      <c r="Q21" s="7"/>
      <c r="R21" s="7">
        <v>1</v>
      </c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 t="s">
        <v>986</v>
      </c>
      <c r="C22" s="7" t="b">
        <v>1</v>
      </c>
      <c r="D22" s="7"/>
      <c r="E22" s="7" t="s">
        <v>987</v>
      </c>
      <c r="F22" s="7"/>
      <c r="G22" s="7"/>
      <c r="H22" s="7"/>
      <c r="I22" s="7"/>
      <c r="J22" s="7"/>
      <c r="K22" s="7"/>
      <c r="L22" s="7"/>
      <c r="M22" s="7"/>
      <c r="N22" s="7" t="s">
        <v>988</v>
      </c>
      <c r="O22" s="7"/>
      <c r="P22" s="7"/>
      <c r="Q22" s="7"/>
      <c r="R22" s="7">
        <v>1</v>
      </c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 t="s">
        <v>989</v>
      </c>
      <c r="C23" s="7" t="b">
        <v>1</v>
      </c>
      <c r="D23" s="7"/>
      <c r="E23" s="7">
        <v>13118138073000</v>
      </c>
      <c r="F23" s="7"/>
      <c r="G23" s="7"/>
      <c r="H23" s="7"/>
      <c r="I23" s="7"/>
      <c r="J23" s="7"/>
      <c r="K23" s="7"/>
      <c r="L23" s="7"/>
      <c r="M23" s="7"/>
      <c r="N23" s="7" t="s">
        <v>990</v>
      </c>
      <c r="O23" s="7"/>
      <c r="P23" s="7"/>
      <c r="Q23" s="7"/>
      <c r="R23" s="7">
        <v>1</v>
      </c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 t="s">
        <v>991</v>
      </c>
      <c r="C24" s="7" t="b">
        <v>1</v>
      </c>
      <c r="D24" s="7"/>
      <c r="E24" s="7" t="s">
        <v>992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>
        <v>1</v>
      </c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1" t="s">
        <v>993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7"/>
      <c r="B28" s="7" t="s">
        <v>61</v>
      </c>
      <c r="C28" s="7" t="b">
        <v>1</v>
      </c>
      <c r="D28" s="7"/>
      <c r="E28" s="7"/>
      <c r="F28" s="7"/>
      <c r="G28" s="7"/>
      <c r="H28" s="7"/>
      <c r="I28" s="7"/>
      <c r="J28" s="7"/>
      <c r="K28" s="7"/>
      <c r="L28" s="7"/>
      <c r="M28" s="7">
        <v>1</v>
      </c>
      <c r="N28" s="7"/>
      <c r="O28" s="7"/>
      <c r="P28" s="7"/>
      <c r="Q28" s="7"/>
      <c r="R28" s="7">
        <v>1</v>
      </c>
      <c r="S28" s="7"/>
      <c r="T28" s="7"/>
      <c r="U28" s="7"/>
      <c r="V28" s="7"/>
      <c r="W28" s="7"/>
      <c r="X28" s="7"/>
      <c r="Y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">
    <mergeCell ref="A1:Z1"/>
    <mergeCell ref="A2:Z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9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1" width="18" customWidth="1"/>
    <col min="2" max="2" width="27" customWidth="1"/>
    <col min="3" max="3" width="18" customWidth="1"/>
    <col min="4" max="4" width="19.85546875" customWidth="1"/>
    <col min="5" max="13" width="18" customWidth="1"/>
    <col min="14" max="14" width="21" customWidth="1"/>
    <col min="15" max="15" width="26" customWidth="1"/>
    <col min="16" max="16" width="28" customWidth="1"/>
    <col min="17" max="17" width="25" customWidth="1"/>
    <col min="18" max="18" width="28" customWidth="1"/>
    <col min="19" max="19" width="30" customWidth="1"/>
    <col min="20" max="21" width="21" customWidth="1"/>
    <col min="22" max="23" width="18" customWidth="1"/>
    <col min="24" max="24" width="25" customWidth="1"/>
    <col min="25" max="25" width="18" customWidth="1"/>
    <col min="26" max="26" width="8.7109375" customWidth="1"/>
  </cols>
  <sheetData>
    <row r="1" spans="1:26" ht="18.75">
      <c r="A1" s="28" t="s">
        <v>994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6" ht="37.5" customHeight="1">
      <c r="A2" s="31" t="s">
        <v>995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4" spans="1:26">
      <c r="A4" s="1" t="s">
        <v>4</v>
      </c>
      <c r="B4" s="1" t="s">
        <v>5</v>
      </c>
      <c r="C4" s="1" t="s">
        <v>883</v>
      </c>
      <c r="D4" s="1" t="s">
        <v>6</v>
      </c>
      <c r="E4" s="1" t="s">
        <v>8</v>
      </c>
      <c r="F4" s="1" t="s">
        <v>886</v>
      </c>
      <c r="G4" s="1" t="s">
        <v>887</v>
      </c>
      <c r="H4" s="1" t="s">
        <v>888</v>
      </c>
      <c r="I4" s="1" t="s">
        <v>889</v>
      </c>
      <c r="J4" s="1" t="s">
        <v>891</v>
      </c>
      <c r="K4" s="1" t="s">
        <v>893</v>
      </c>
      <c r="L4" s="1" t="s">
        <v>894</v>
      </c>
      <c r="M4" s="1" t="s">
        <v>996</v>
      </c>
      <c r="N4" s="1" t="s">
        <v>997</v>
      </c>
      <c r="O4" s="1" t="s">
        <v>998</v>
      </c>
      <c r="P4" s="1" t="s">
        <v>999</v>
      </c>
      <c r="Q4" s="1" t="s">
        <v>896</v>
      </c>
      <c r="R4" s="1" t="s">
        <v>1000</v>
      </c>
      <c r="S4" s="1" t="s">
        <v>1001</v>
      </c>
      <c r="T4" s="1" t="s">
        <v>1002</v>
      </c>
      <c r="U4" s="1" t="s">
        <v>1003</v>
      </c>
      <c r="V4" s="1" t="s">
        <v>1004</v>
      </c>
      <c r="W4" s="1" t="s">
        <v>1005</v>
      </c>
      <c r="X4" s="1" t="s">
        <v>1006</v>
      </c>
      <c r="Y4" s="1" t="s">
        <v>903</v>
      </c>
    </row>
    <row r="5" spans="1:26">
      <c r="A5" s="2" t="s">
        <v>75</v>
      </c>
      <c r="B5" s="2" t="s">
        <v>1007</v>
      </c>
      <c r="C5" s="2" t="s">
        <v>905</v>
      </c>
      <c r="D5" s="3" t="s">
        <v>1008</v>
      </c>
      <c r="E5" s="2" t="s">
        <v>24</v>
      </c>
      <c r="F5" s="3" t="s">
        <v>1009</v>
      </c>
      <c r="G5" s="3" t="s">
        <v>910</v>
      </c>
      <c r="H5" s="3" t="s">
        <v>911</v>
      </c>
      <c r="I5" s="3" t="s">
        <v>831</v>
      </c>
      <c r="J5" s="3" t="s">
        <v>913</v>
      </c>
      <c r="K5" s="3" t="s">
        <v>915</v>
      </c>
      <c r="L5" s="3" t="s">
        <v>916</v>
      </c>
      <c r="M5" s="2" t="s">
        <v>1010</v>
      </c>
      <c r="N5" s="3" t="s">
        <v>1011</v>
      </c>
      <c r="O5" s="3" t="s">
        <v>1012</v>
      </c>
      <c r="P5" s="3" t="s">
        <v>1013</v>
      </c>
      <c r="Q5" s="3" t="s">
        <v>918</v>
      </c>
      <c r="R5" s="3" t="s">
        <v>1014</v>
      </c>
      <c r="S5" s="3" t="s">
        <v>1015</v>
      </c>
      <c r="T5" s="3" t="s">
        <v>1016</v>
      </c>
      <c r="U5" s="3" t="s">
        <v>1017</v>
      </c>
      <c r="V5" s="3" t="s">
        <v>1018</v>
      </c>
      <c r="W5" s="3" t="s">
        <v>1019</v>
      </c>
      <c r="X5" s="3" t="s">
        <v>1020</v>
      </c>
      <c r="Y5" s="3" t="s">
        <v>85</v>
      </c>
    </row>
    <row r="6" spans="1:26">
      <c r="A6" s="4" t="s">
        <v>36</v>
      </c>
      <c r="B6" s="4" t="s">
        <v>36</v>
      </c>
      <c r="C6" s="4" t="s">
        <v>36</v>
      </c>
      <c r="D6" s="4" t="s">
        <v>37</v>
      </c>
      <c r="E6" s="4" t="s">
        <v>36</v>
      </c>
      <c r="F6" s="4" t="s">
        <v>38</v>
      </c>
      <c r="G6" s="4" t="s">
        <v>38</v>
      </c>
      <c r="H6" s="4" t="s">
        <v>38</v>
      </c>
      <c r="I6" s="4" t="s">
        <v>38</v>
      </c>
      <c r="J6" s="4" t="s">
        <v>38</v>
      </c>
      <c r="K6" s="4" t="s">
        <v>38</v>
      </c>
      <c r="L6" s="4" t="s">
        <v>38</v>
      </c>
      <c r="M6" s="4" t="s">
        <v>36</v>
      </c>
      <c r="N6" s="4" t="s">
        <v>38</v>
      </c>
      <c r="O6" s="4" t="s">
        <v>38</v>
      </c>
      <c r="P6" s="4" t="s">
        <v>38</v>
      </c>
      <c r="Q6" s="4" t="s">
        <v>38</v>
      </c>
      <c r="R6" s="4" t="s">
        <v>38</v>
      </c>
      <c r="S6" s="4" t="s">
        <v>38</v>
      </c>
      <c r="T6" s="4" t="s">
        <v>38</v>
      </c>
      <c r="U6" s="4" t="s">
        <v>38</v>
      </c>
      <c r="V6" s="4" t="s">
        <v>38</v>
      </c>
      <c r="W6" s="4" t="s">
        <v>38</v>
      </c>
      <c r="X6" s="4" t="s">
        <v>38</v>
      </c>
      <c r="Y6" s="4" t="s">
        <v>38</v>
      </c>
    </row>
    <row r="7" spans="1:26" ht="90" customHeight="1">
      <c r="A7" s="5" t="s">
        <v>1021</v>
      </c>
      <c r="B7" s="5"/>
      <c r="C7" s="5" t="s">
        <v>720</v>
      </c>
      <c r="D7" s="5" t="s">
        <v>1022</v>
      </c>
      <c r="E7" s="5" t="s">
        <v>1023</v>
      </c>
      <c r="F7" s="5"/>
      <c r="G7" s="5"/>
      <c r="H7" s="5"/>
      <c r="I7" s="5"/>
      <c r="J7" s="5"/>
      <c r="K7" s="5"/>
      <c r="L7" s="5"/>
      <c r="M7" s="5" t="s">
        <v>1024</v>
      </c>
      <c r="N7" s="5" t="s">
        <v>1025</v>
      </c>
      <c r="O7" s="5" t="s">
        <v>1026</v>
      </c>
      <c r="P7" s="5" t="s">
        <v>1027</v>
      </c>
      <c r="Q7" s="5"/>
      <c r="R7" s="5" t="s">
        <v>1028</v>
      </c>
      <c r="S7" s="5" t="s">
        <v>1029</v>
      </c>
      <c r="T7" s="5" t="s">
        <v>1030</v>
      </c>
      <c r="U7" s="5" t="s">
        <v>1031</v>
      </c>
      <c r="V7" s="5"/>
      <c r="W7" s="5"/>
      <c r="X7" s="5"/>
      <c r="Y7" s="5"/>
    </row>
    <row r="8" spans="1:26" ht="25.5">
      <c r="A8" s="6" t="s">
        <v>1032</v>
      </c>
      <c r="B8" s="6" t="s">
        <v>1033</v>
      </c>
      <c r="C8" s="6" t="s">
        <v>56</v>
      </c>
      <c r="D8" s="6" t="s">
        <v>1034</v>
      </c>
      <c r="E8" s="6" t="s">
        <v>55</v>
      </c>
      <c r="F8" s="6" t="s">
        <v>1035</v>
      </c>
      <c r="G8" s="6" t="s">
        <v>1036</v>
      </c>
      <c r="H8" s="6" t="s">
        <v>1037</v>
      </c>
      <c r="I8" s="6" t="s">
        <v>1038</v>
      </c>
      <c r="J8" s="6" t="s">
        <v>1039</v>
      </c>
      <c r="K8" s="6" t="s">
        <v>1040</v>
      </c>
      <c r="L8" s="6" t="s">
        <v>1041</v>
      </c>
      <c r="M8" s="6">
        <v>1</v>
      </c>
      <c r="N8" s="6" t="s">
        <v>56</v>
      </c>
      <c r="O8" s="6" t="s">
        <v>63</v>
      </c>
      <c r="P8" s="6">
        <v>12</v>
      </c>
      <c r="Q8" s="6" t="s">
        <v>951</v>
      </c>
      <c r="R8" s="6"/>
      <c r="S8" s="6" t="s">
        <v>54</v>
      </c>
      <c r="T8" s="6" t="s">
        <v>737</v>
      </c>
      <c r="U8" s="6" t="s">
        <v>731</v>
      </c>
      <c r="V8" s="6" t="s">
        <v>795</v>
      </c>
      <c r="W8" s="6" t="s">
        <v>1042</v>
      </c>
      <c r="X8" s="6" t="s">
        <v>1043</v>
      </c>
      <c r="Y8" s="6" t="s">
        <v>1044</v>
      </c>
    </row>
    <row r="9" spans="1:26" ht="25.5">
      <c r="A9" s="6" t="s">
        <v>1045</v>
      </c>
      <c r="B9" s="6" t="s">
        <v>1046</v>
      </c>
      <c r="C9" s="6" t="s">
        <v>56</v>
      </c>
      <c r="D9" s="6"/>
      <c r="E9" s="6" t="s">
        <v>784</v>
      </c>
      <c r="F9" s="6" t="s">
        <v>1047</v>
      </c>
      <c r="G9" s="6" t="s">
        <v>1048</v>
      </c>
      <c r="H9" s="6" t="s">
        <v>1049</v>
      </c>
      <c r="I9" s="6" t="s">
        <v>1050</v>
      </c>
      <c r="J9" s="6" t="s">
        <v>1051</v>
      </c>
      <c r="K9" s="6" t="s">
        <v>1052</v>
      </c>
      <c r="L9" s="6" t="s">
        <v>1053</v>
      </c>
      <c r="M9" s="6">
        <v>1</v>
      </c>
      <c r="N9" s="6" t="s">
        <v>56</v>
      </c>
      <c r="O9" s="6" t="s">
        <v>63</v>
      </c>
      <c r="P9" s="6">
        <v>24</v>
      </c>
      <c r="Q9" s="6" t="s">
        <v>1054</v>
      </c>
      <c r="R9" s="6"/>
      <c r="S9" s="6" t="s">
        <v>1055</v>
      </c>
      <c r="T9" s="6"/>
      <c r="U9" s="6" t="s">
        <v>747</v>
      </c>
      <c r="V9" s="6"/>
      <c r="W9" s="6"/>
      <c r="X9" s="6"/>
      <c r="Y9" s="6" t="s">
        <v>1056</v>
      </c>
    </row>
    <row r="10" spans="1:26">
      <c r="A10" s="6" t="s">
        <v>1057</v>
      </c>
      <c r="B10" s="6" t="s">
        <v>1058</v>
      </c>
      <c r="C10" s="6" t="s">
        <v>56</v>
      </c>
      <c r="D10" s="6" t="s">
        <v>1059</v>
      </c>
      <c r="E10" s="6" t="s">
        <v>55</v>
      </c>
      <c r="F10" s="6" t="s">
        <v>943</v>
      </c>
      <c r="G10" s="6" t="s">
        <v>944</v>
      </c>
      <c r="H10" s="6" t="s">
        <v>1060</v>
      </c>
      <c r="I10" s="6" t="s">
        <v>1061</v>
      </c>
      <c r="J10" s="6" t="s">
        <v>1062</v>
      </c>
      <c r="K10" s="6" t="s">
        <v>1063</v>
      </c>
      <c r="L10" s="6"/>
      <c r="M10" s="6">
        <v>1</v>
      </c>
      <c r="N10" s="6" t="s">
        <v>63</v>
      </c>
      <c r="O10" s="6" t="s">
        <v>56</v>
      </c>
      <c r="P10" s="6">
        <v>0</v>
      </c>
      <c r="Q10" s="6" t="s">
        <v>968</v>
      </c>
      <c r="R10" s="6"/>
      <c r="S10" s="6" t="s">
        <v>54</v>
      </c>
      <c r="T10" s="6" t="s">
        <v>737</v>
      </c>
      <c r="U10" s="6" t="s">
        <v>731</v>
      </c>
      <c r="V10" s="6" t="s">
        <v>1064</v>
      </c>
      <c r="W10" s="6" t="s">
        <v>1065</v>
      </c>
      <c r="X10" s="6" t="s">
        <v>1066</v>
      </c>
      <c r="Y10" s="6" t="s">
        <v>1067</v>
      </c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6">
      <c r="A12" s="11" t="s">
        <v>969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7"/>
      <c r="B13" s="7" t="s">
        <v>61</v>
      </c>
      <c r="C13" s="7" t="b">
        <v>1</v>
      </c>
      <c r="D13" s="7" t="s">
        <v>62</v>
      </c>
      <c r="E13" s="7" t="s">
        <v>55</v>
      </c>
      <c r="F13" s="7"/>
      <c r="G13" s="7"/>
      <c r="H13" s="7"/>
      <c r="I13" s="7"/>
      <c r="J13" s="7"/>
      <c r="K13" s="7"/>
      <c r="L13" s="7"/>
      <c r="M13" s="7">
        <v>1</v>
      </c>
      <c r="N13" s="7"/>
      <c r="O13" s="7"/>
      <c r="P13" s="7"/>
      <c r="Q13" s="7"/>
      <c r="R13" s="7"/>
      <c r="S13" s="7"/>
      <c r="T13" s="7"/>
      <c r="U13" s="7"/>
      <c r="V13" s="7" t="s">
        <v>795</v>
      </c>
      <c r="W13" s="7">
        <v>2686955777</v>
      </c>
      <c r="X13" s="7" t="s">
        <v>61</v>
      </c>
      <c r="Y13" s="7" t="s">
        <v>1068</v>
      </c>
    </row>
    <row r="14" spans="1:26">
      <c r="A14" s="7"/>
      <c r="B14" s="7" t="s">
        <v>1069</v>
      </c>
      <c r="C14" s="7" t="b">
        <v>1</v>
      </c>
      <c r="D14" s="7" t="s">
        <v>1070</v>
      </c>
      <c r="E14" s="7" t="s">
        <v>55</v>
      </c>
      <c r="F14" s="7"/>
      <c r="G14" s="7"/>
      <c r="H14" s="7"/>
      <c r="I14" s="7"/>
      <c r="J14" s="7"/>
      <c r="K14" s="7" t="s">
        <v>1071</v>
      </c>
      <c r="L14" s="7"/>
      <c r="M14" s="7">
        <v>1</v>
      </c>
      <c r="N14" s="7" t="b">
        <v>0</v>
      </c>
      <c r="O14" s="7" t="b">
        <v>1</v>
      </c>
      <c r="P14" s="7"/>
      <c r="Q14" s="7"/>
      <c r="R14" s="7"/>
      <c r="S14" s="7"/>
      <c r="T14" s="7"/>
      <c r="U14" s="7"/>
      <c r="V14" s="7" t="s">
        <v>795</v>
      </c>
      <c r="W14" s="7">
        <v>4072221617</v>
      </c>
      <c r="X14" s="7" t="s">
        <v>1069</v>
      </c>
      <c r="Y14" s="7" t="s">
        <v>1072</v>
      </c>
    </row>
    <row r="15" spans="1:26">
      <c r="A15" s="7"/>
      <c r="B15" s="7" t="s">
        <v>1073</v>
      </c>
      <c r="C15" s="7" t="b">
        <v>1</v>
      </c>
      <c r="D15" s="7" t="s">
        <v>1074</v>
      </c>
      <c r="E15" s="7" t="s">
        <v>55</v>
      </c>
      <c r="F15" s="7"/>
      <c r="G15" s="7"/>
      <c r="H15" s="7"/>
      <c r="I15" s="7"/>
      <c r="J15" s="7"/>
      <c r="K15" s="7"/>
      <c r="L15" s="7"/>
      <c r="M15" s="7">
        <v>1</v>
      </c>
      <c r="N15" s="7"/>
      <c r="O15" s="7"/>
      <c r="P15" s="7"/>
      <c r="Q15" s="7"/>
      <c r="R15" s="7"/>
      <c r="S15" s="7"/>
      <c r="T15" s="7"/>
      <c r="U15" s="7"/>
      <c r="V15" s="7" t="s">
        <v>1064</v>
      </c>
      <c r="W15" s="7">
        <v>1260005249882</v>
      </c>
      <c r="X15" s="7" t="s">
        <v>1073</v>
      </c>
      <c r="Y15" s="7" t="s">
        <v>1075</v>
      </c>
    </row>
    <row r="16" spans="1:26">
      <c r="A16" s="7"/>
      <c r="B16" s="7" t="s">
        <v>1076</v>
      </c>
      <c r="C16" s="7" t="b">
        <v>1</v>
      </c>
      <c r="D16" s="7"/>
      <c r="E16" s="7" t="s">
        <v>784</v>
      </c>
      <c r="F16" s="7"/>
      <c r="G16" s="7"/>
      <c r="H16" s="7"/>
      <c r="I16" s="7"/>
      <c r="J16" s="7"/>
      <c r="K16" s="7"/>
      <c r="L16" s="7"/>
      <c r="M16" s="7">
        <v>1</v>
      </c>
      <c r="N16" s="7" t="b">
        <v>1</v>
      </c>
      <c r="O16" s="7"/>
      <c r="P16" s="7"/>
      <c r="Q16" s="7"/>
      <c r="R16" s="7"/>
      <c r="S16" s="7"/>
      <c r="T16" s="7"/>
      <c r="U16" s="7"/>
      <c r="V16" s="7" t="s">
        <v>1077</v>
      </c>
      <c r="W16" s="7">
        <v>127920326510001</v>
      </c>
      <c r="X16" s="7" t="s">
        <v>1076</v>
      </c>
      <c r="Y16" s="7" t="s">
        <v>1078</v>
      </c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6">
      <c r="A18" s="11" t="s">
        <v>993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Y1"/>
    <mergeCell ref="A2:Y2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1" width="18" customWidth="1"/>
    <col min="2" max="2" width="28" customWidth="1"/>
    <col min="3" max="3" width="18" customWidth="1"/>
    <col min="4" max="4" width="26.28515625" customWidth="1"/>
    <col min="5" max="7" width="18" customWidth="1"/>
    <col min="8" max="8" width="26" customWidth="1"/>
    <col min="9" max="9" width="18" customWidth="1"/>
    <col min="10" max="10" width="20" customWidth="1"/>
    <col min="11" max="11" width="18" customWidth="1"/>
    <col min="12" max="12" width="22" customWidth="1"/>
    <col min="13" max="13" width="25" customWidth="1"/>
    <col min="14" max="14" width="34" customWidth="1"/>
    <col min="15" max="16" width="18" customWidth="1"/>
    <col min="17" max="17" width="19" customWidth="1"/>
    <col min="18" max="18" width="20" customWidth="1"/>
    <col min="19" max="19" width="21" customWidth="1"/>
    <col min="20" max="22" width="18" customWidth="1"/>
    <col min="23" max="23" width="20" customWidth="1"/>
    <col min="24" max="24" width="24" customWidth="1"/>
    <col min="25" max="25" width="25" customWidth="1"/>
    <col min="26" max="26" width="19" customWidth="1"/>
  </cols>
  <sheetData>
    <row r="1" spans="1:26" ht="18.75">
      <c r="A1" s="28" t="s">
        <v>1079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37.5" customHeight="1">
      <c r="A2" s="31" t="s">
        <v>1080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4" spans="1:26">
      <c r="A4" s="1" t="s">
        <v>4</v>
      </c>
      <c r="B4" s="1" t="s">
        <v>1081</v>
      </c>
      <c r="C4" s="1" t="s">
        <v>1082</v>
      </c>
      <c r="D4" s="1" t="s">
        <v>5</v>
      </c>
      <c r="E4" s="1" t="s">
        <v>752</v>
      </c>
      <c r="F4" s="1" t="s">
        <v>1083</v>
      </c>
      <c r="G4" s="1" t="s">
        <v>1084</v>
      </c>
      <c r="H4" s="1" t="s">
        <v>1085</v>
      </c>
      <c r="I4" s="1" t="s">
        <v>1086</v>
      </c>
      <c r="J4" s="1" t="s">
        <v>1087</v>
      </c>
      <c r="K4" s="1" t="s">
        <v>1088</v>
      </c>
      <c r="L4" s="1" t="s">
        <v>1089</v>
      </c>
      <c r="M4" s="1" t="s">
        <v>1090</v>
      </c>
      <c r="N4" s="1" t="s">
        <v>1091</v>
      </c>
      <c r="O4" s="1" t="s">
        <v>1092</v>
      </c>
      <c r="P4" s="1" t="s">
        <v>1093</v>
      </c>
      <c r="Q4" s="1" t="s">
        <v>1094</v>
      </c>
      <c r="R4" s="1" t="s">
        <v>1095</v>
      </c>
      <c r="S4" s="1" t="s">
        <v>1096</v>
      </c>
      <c r="T4" s="1" t="s">
        <v>1097</v>
      </c>
      <c r="U4" s="1" t="s">
        <v>1098</v>
      </c>
      <c r="V4" s="1" t="s">
        <v>1099</v>
      </c>
      <c r="W4" s="1" t="s">
        <v>1100</v>
      </c>
      <c r="X4" s="1" t="s">
        <v>1101</v>
      </c>
      <c r="Y4" s="1" t="s">
        <v>1102</v>
      </c>
      <c r="Z4" s="1" t="s">
        <v>1103</v>
      </c>
    </row>
    <row r="5" spans="1:26">
      <c r="A5" s="2" t="s">
        <v>75</v>
      </c>
      <c r="B5" s="2" t="s">
        <v>1104</v>
      </c>
      <c r="C5" s="3" t="s">
        <v>1105</v>
      </c>
      <c r="D5" s="2" t="s">
        <v>1106</v>
      </c>
      <c r="E5" s="2" t="s">
        <v>701</v>
      </c>
      <c r="F5" s="3" t="s">
        <v>1107</v>
      </c>
      <c r="G5" s="3" t="s">
        <v>1108</v>
      </c>
      <c r="H5" s="2" t="s">
        <v>1109</v>
      </c>
      <c r="I5" s="3" t="s">
        <v>1110</v>
      </c>
      <c r="J5" s="3" t="s">
        <v>1111</v>
      </c>
      <c r="K5" s="3" t="s">
        <v>1112</v>
      </c>
      <c r="L5" s="3" t="s">
        <v>1113</v>
      </c>
      <c r="M5" s="3" t="s">
        <v>1114</v>
      </c>
      <c r="N5" s="3" t="s">
        <v>1115</v>
      </c>
      <c r="O5" s="3" t="s">
        <v>1116</v>
      </c>
      <c r="P5" s="3" t="s">
        <v>1117</v>
      </c>
      <c r="Q5" s="3" t="s">
        <v>1118</v>
      </c>
      <c r="R5" s="3" t="s">
        <v>1119</v>
      </c>
      <c r="S5" s="3" t="s">
        <v>1120</v>
      </c>
      <c r="T5" s="3" t="s">
        <v>1121</v>
      </c>
      <c r="U5" s="3" t="s">
        <v>1122</v>
      </c>
      <c r="V5" s="3" t="s">
        <v>1123</v>
      </c>
      <c r="W5" s="3" t="s">
        <v>1124</v>
      </c>
      <c r="X5" s="3" t="s">
        <v>1125</v>
      </c>
      <c r="Y5" s="3" t="s">
        <v>1126</v>
      </c>
      <c r="Z5" s="3" t="s">
        <v>1127</v>
      </c>
    </row>
    <row r="6" spans="1:26">
      <c r="A6" s="4" t="s">
        <v>36</v>
      </c>
      <c r="B6" s="4" t="s">
        <v>36</v>
      </c>
      <c r="C6" s="4" t="s">
        <v>38</v>
      </c>
      <c r="D6" s="4" t="s">
        <v>36</v>
      </c>
      <c r="E6" s="4" t="s">
        <v>36</v>
      </c>
      <c r="F6" s="4" t="s">
        <v>37</v>
      </c>
      <c r="G6" s="4" t="s">
        <v>37</v>
      </c>
      <c r="H6" s="4" t="s">
        <v>36</v>
      </c>
      <c r="I6" s="4" t="s">
        <v>38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  <c r="O6" s="4" t="s">
        <v>38</v>
      </c>
      <c r="P6" s="4" t="s">
        <v>38</v>
      </c>
      <c r="Q6" s="4" t="s">
        <v>38</v>
      </c>
      <c r="R6" s="4" t="s">
        <v>38</v>
      </c>
      <c r="S6" s="4" t="s">
        <v>38</v>
      </c>
      <c r="T6" s="4" t="s">
        <v>38</v>
      </c>
      <c r="U6" s="4" t="s">
        <v>38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</row>
    <row r="7" spans="1:26" ht="90" customHeight="1">
      <c r="A7" s="5" t="s">
        <v>1128</v>
      </c>
      <c r="B7" s="5" t="s">
        <v>1129</v>
      </c>
      <c r="C7" s="5" t="s">
        <v>1130</v>
      </c>
      <c r="D7" s="5" t="s">
        <v>1131</v>
      </c>
      <c r="E7" s="5" t="s">
        <v>1132</v>
      </c>
      <c r="F7" s="5" t="s">
        <v>1133</v>
      </c>
      <c r="G7" s="5" t="s">
        <v>1134</v>
      </c>
      <c r="H7" s="5" t="s">
        <v>1135</v>
      </c>
      <c r="I7" s="5" t="s">
        <v>1136</v>
      </c>
      <c r="J7" s="5" t="s">
        <v>1136</v>
      </c>
      <c r="K7" s="5" t="s">
        <v>1137</v>
      </c>
      <c r="L7" s="5" t="s">
        <v>40</v>
      </c>
      <c r="M7" s="5" t="s">
        <v>1138</v>
      </c>
      <c r="N7" s="5" t="s">
        <v>1031</v>
      </c>
      <c r="O7" s="5" t="s">
        <v>720</v>
      </c>
      <c r="P7" s="5" t="s">
        <v>720</v>
      </c>
      <c r="Q7" s="5" t="s">
        <v>1139</v>
      </c>
      <c r="R7" s="5" t="s">
        <v>1140</v>
      </c>
      <c r="S7" s="5" t="s">
        <v>1141</v>
      </c>
      <c r="T7" s="5" t="s">
        <v>1142</v>
      </c>
      <c r="U7" s="5"/>
      <c r="V7" s="5"/>
      <c r="W7" s="5"/>
      <c r="X7" s="5"/>
      <c r="Y7" s="5" t="s">
        <v>1143</v>
      </c>
      <c r="Z7" s="5" t="s">
        <v>1144</v>
      </c>
    </row>
    <row r="8" spans="1:26" ht="25.5">
      <c r="A8" s="6" t="s">
        <v>1145</v>
      </c>
      <c r="B8" s="6" t="s">
        <v>1146</v>
      </c>
      <c r="C8" s="6"/>
      <c r="D8" s="6" t="s">
        <v>1147</v>
      </c>
      <c r="E8" s="6" t="s">
        <v>1148</v>
      </c>
      <c r="F8" s="6" t="s">
        <v>56</v>
      </c>
      <c r="G8" s="6" t="s">
        <v>1149</v>
      </c>
      <c r="H8" s="6" t="s">
        <v>1150</v>
      </c>
      <c r="I8" s="6" t="s">
        <v>1151</v>
      </c>
      <c r="J8" s="6" t="s">
        <v>1151</v>
      </c>
      <c r="K8" s="6">
        <v>280000000</v>
      </c>
      <c r="L8" s="6">
        <v>230000000</v>
      </c>
      <c r="M8" s="6" t="s">
        <v>723</v>
      </c>
      <c r="N8" s="6" t="s">
        <v>1152</v>
      </c>
      <c r="O8" s="6" t="s">
        <v>56</v>
      </c>
      <c r="P8" s="6" t="s">
        <v>56</v>
      </c>
      <c r="Q8" s="6" t="s">
        <v>56</v>
      </c>
      <c r="R8" s="6">
        <v>50000</v>
      </c>
      <c r="S8" s="6">
        <v>350000</v>
      </c>
      <c r="T8" s="6" t="s">
        <v>63</v>
      </c>
      <c r="U8" s="6">
        <v>38</v>
      </c>
      <c r="V8" s="6">
        <v>0.4</v>
      </c>
      <c r="W8" s="6" t="s">
        <v>1153</v>
      </c>
      <c r="X8" s="6" t="s">
        <v>1154</v>
      </c>
      <c r="Y8" s="6" t="s">
        <v>1032</v>
      </c>
      <c r="Z8" s="6">
        <v>12</v>
      </c>
    </row>
    <row r="9" spans="1:26">
      <c r="A9" s="6" t="s">
        <v>1155</v>
      </c>
      <c r="B9" s="6" t="s">
        <v>1156</v>
      </c>
      <c r="C9" s="6"/>
      <c r="D9" s="6" t="s">
        <v>1157</v>
      </c>
      <c r="E9" s="6" t="s">
        <v>1148</v>
      </c>
      <c r="F9" s="6" t="s">
        <v>56</v>
      </c>
      <c r="G9" s="6" t="s">
        <v>1158</v>
      </c>
      <c r="H9" s="6" t="s">
        <v>875</v>
      </c>
      <c r="I9" s="6" t="s">
        <v>1151</v>
      </c>
      <c r="J9" s="6" t="s">
        <v>1151</v>
      </c>
      <c r="K9" s="6">
        <v>18000000</v>
      </c>
      <c r="L9" s="6">
        <v>14000000</v>
      </c>
      <c r="M9" s="6" t="s">
        <v>723</v>
      </c>
      <c r="N9" s="6" t="s">
        <v>731</v>
      </c>
      <c r="O9" s="6" t="s">
        <v>56</v>
      </c>
      <c r="P9" s="6" t="s">
        <v>56</v>
      </c>
      <c r="Q9" s="6" t="s">
        <v>63</v>
      </c>
      <c r="R9" s="6">
        <v>0</v>
      </c>
      <c r="S9" s="6">
        <v>0</v>
      </c>
      <c r="T9" s="6" t="s">
        <v>63</v>
      </c>
      <c r="U9" s="6">
        <v>12.5</v>
      </c>
      <c r="V9" s="6">
        <v>0.05</v>
      </c>
      <c r="W9" s="6"/>
      <c r="X9" s="6"/>
      <c r="Y9" s="6" t="s">
        <v>1032</v>
      </c>
      <c r="Z9" s="6">
        <v>6</v>
      </c>
    </row>
    <row r="10" spans="1:26" ht="25.5">
      <c r="A10" s="6" t="s">
        <v>1159</v>
      </c>
      <c r="B10" s="6" t="s">
        <v>1160</v>
      </c>
      <c r="C10" s="6"/>
      <c r="D10" s="6" t="s">
        <v>1161</v>
      </c>
      <c r="E10" s="6" t="s">
        <v>1162</v>
      </c>
      <c r="F10" s="6" t="s">
        <v>63</v>
      </c>
      <c r="G10" s="6" t="s">
        <v>1163</v>
      </c>
      <c r="H10" s="6" t="s">
        <v>878</v>
      </c>
      <c r="I10" s="6" t="s">
        <v>1151</v>
      </c>
      <c r="J10" s="6" t="s">
        <v>1151</v>
      </c>
      <c r="K10" s="6">
        <v>5000000</v>
      </c>
      <c r="L10" s="6">
        <v>0</v>
      </c>
      <c r="M10" s="6" t="s">
        <v>723</v>
      </c>
      <c r="N10" s="6"/>
      <c r="O10" s="6" t="s">
        <v>56</v>
      </c>
      <c r="P10" s="6" t="s">
        <v>63</v>
      </c>
      <c r="Q10" s="6" t="s">
        <v>56</v>
      </c>
      <c r="R10" s="6">
        <v>100000</v>
      </c>
      <c r="S10" s="6">
        <v>1000000</v>
      </c>
      <c r="T10" s="6" t="s">
        <v>56</v>
      </c>
      <c r="U10" s="6">
        <v>0</v>
      </c>
      <c r="V10" s="6">
        <v>0</v>
      </c>
      <c r="W10" s="6" t="s">
        <v>1164</v>
      </c>
      <c r="X10" s="6"/>
      <c r="Y10" s="6"/>
      <c r="Z10" s="6">
        <v>0</v>
      </c>
    </row>
    <row r="11" spans="1:26">
      <c r="A11" s="11" t="s">
        <v>969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7"/>
      <c r="B12" s="7"/>
      <c r="C12" s="7"/>
      <c r="D12" s="7" t="s">
        <v>1165</v>
      </c>
      <c r="E12" s="7" t="s">
        <v>1166</v>
      </c>
      <c r="F12" s="7" t="b">
        <v>0</v>
      </c>
      <c r="G12" s="7"/>
      <c r="H12" s="9"/>
      <c r="I12" s="7" t="s">
        <v>1167</v>
      </c>
      <c r="J12" s="7" t="s">
        <v>1167</v>
      </c>
      <c r="K12" s="13">
        <f>150*10^6*111%</f>
        <v>166500000</v>
      </c>
      <c r="L12" s="7"/>
      <c r="M12" s="7"/>
      <c r="N12" s="7"/>
      <c r="O12" s="7" t="b">
        <v>1</v>
      </c>
      <c r="P12" s="7"/>
      <c r="Q12" s="7"/>
      <c r="R12" s="7"/>
      <c r="S12" s="7"/>
      <c r="T12" s="7"/>
      <c r="U12" s="7"/>
      <c r="V12" s="7"/>
      <c r="W12" s="7" t="s">
        <v>1168</v>
      </c>
      <c r="X12" s="7"/>
      <c r="Y12" s="7"/>
      <c r="Z12" s="7"/>
    </row>
    <row r="13" spans="1:26">
      <c r="A13" s="7"/>
      <c r="B13" s="7"/>
      <c r="C13" s="7"/>
      <c r="D13" s="7" t="s">
        <v>1169</v>
      </c>
      <c r="E13" s="7" t="s">
        <v>1166</v>
      </c>
      <c r="F13" s="7" t="b">
        <v>0</v>
      </c>
      <c r="G13" s="7"/>
      <c r="H13" s="9"/>
      <c r="I13" s="7" t="s">
        <v>1167</v>
      </c>
      <c r="J13" s="7" t="s">
        <v>1167</v>
      </c>
      <c r="K13" s="13">
        <f>200*10^6*111%</f>
        <v>222000000.00000003</v>
      </c>
      <c r="L13" s="7"/>
      <c r="M13" s="7"/>
      <c r="N13" s="7"/>
      <c r="O13" s="7" t="b">
        <v>1</v>
      </c>
      <c r="P13" s="7"/>
      <c r="Q13" s="7"/>
      <c r="R13" s="7"/>
      <c r="S13" s="7"/>
      <c r="T13" s="7"/>
      <c r="U13" s="7"/>
      <c r="V13" s="7"/>
      <c r="W13" s="7" t="s">
        <v>1168</v>
      </c>
      <c r="X13" s="7"/>
      <c r="Y13" s="7"/>
      <c r="Z13" s="7"/>
    </row>
    <row r="14" spans="1:26">
      <c r="A14" s="7"/>
      <c r="B14" s="7"/>
      <c r="C14" s="7"/>
      <c r="D14" s="7" t="s">
        <v>1170</v>
      </c>
      <c r="E14" s="7" t="s">
        <v>1166</v>
      </c>
      <c r="F14" s="7" t="b">
        <v>0</v>
      </c>
      <c r="G14" s="7"/>
      <c r="H14" s="9"/>
      <c r="I14" s="7" t="s">
        <v>1167</v>
      </c>
      <c r="J14" s="7" t="s">
        <v>1167</v>
      </c>
      <c r="K14" s="13">
        <f>300*10^6*111%</f>
        <v>333000000</v>
      </c>
      <c r="L14" s="7"/>
      <c r="M14" s="7"/>
      <c r="N14" s="7"/>
      <c r="O14" s="7" t="b">
        <v>1</v>
      </c>
      <c r="P14" s="7"/>
      <c r="Q14" s="7"/>
      <c r="R14" s="7"/>
      <c r="S14" s="7"/>
      <c r="T14" s="7"/>
      <c r="U14" s="7"/>
      <c r="V14" s="7"/>
      <c r="W14" s="7" t="s">
        <v>1168</v>
      </c>
      <c r="X14" s="7"/>
      <c r="Y14" s="7"/>
      <c r="Z14" s="7"/>
    </row>
    <row r="15" spans="1:26">
      <c r="A15" s="7"/>
      <c r="B15" s="7"/>
      <c r="C15" s="7"/>
      <c r="D15" s="7" t="s">
        <v>1171</v>
      </c>
      <c r="E15" s="7" t="s">
        <v>1166</v>
      </c>
      <c r="F15" s="7" t="b">
        <v>0</v>
      </c>
      <c r="G15" s="7"/>
      <c r="H15" s="9"/>
      <c r="I15" s="7" t="s">
        <v>1167</v>
      </c>
      <c r="J15" s="7" t="s">
        <v>1167</v>
      </c>
      <c r="K15" s="13">
        <f>400*10^6*111%</f>
        <v>444000000.00000006</v>
      </c>
      <c r="L15" s="7"/>
      <c r="M15" s="7"/>
      <c r="N15" s="7"/>
      <c r="O15" s="7" t="b">
        <v>1</v>
      </c>
      <c r="P15" s="7"/>
      <c r="Q15" s="7"/>
      <c r="R15" s="7"/>
      <c r="S15" s="7"/>
      <c r="T15" s="7"/>
      <c r="U15" s="7"/>
      <c r="V15" s="7"/>
      <c r="W15" s="7" t="s">
        <v>1168</v>
      </c>
      <c r="X15" s="7"/>
      <c r="Y15" s="7"/>
      <c r="Z15" s="7"/>
    </row>
    <row r="16" spans="1:26">
      <c r="A16" s="7"/>
      <c r="B16" s="7"/>
      <c r="C16" s="7"/>
      <c r="D16" s="7" t="s">
        <v>1172</v>
      </c>
      <c r="E16" s="7" t="s">
        <v>1166</v>
      </c>
      <c r="F16" s="7" t="b">
        <v>0</v>
      </c>
      <c r="G16" s="7"/>
      <c r="H16" s="9"/>
      <c r="I16" s="7" t="s">
        <v>1167</v>
      </c>
      <c r="J16" s="7" t="s">
        <v>1167</v>
      </c>
      <c r="K16" s="13">
        <f>500*10^6*111%</f>
        <v>555000000</v>
      </c>
      <c r="L16" s="7"/>
      <c r="M16" s="7"/>
      <c r="N16" s="7"/>
      <c r="O16" s="7" t="b">
        <v>1</v>
      </c>
      <c r="P16" s="7"/>
      <c r="Q16" s="7"/>
      <c r="R16" s="7"/>
      <c r="S16" s="7"/>
      <c r="T16" s="7"/>
      <c r="U16" s="7"/>
      <c r="V16" s="7"/>
      <c r="W16" s="7" t="s">
        <v>1168</v>
      </c>
      <c r="X16" s="7"/>
      <c r="Y16" s="7"/>
      <c r="Z16" s="7"/>
    </row>
    <row r="17" spans="1:26">
      <c r="A17" s="7"/>
      <c r="B17" s="7"/>
      <c r="C17" s="7"/>
      <c r="D17" s="7" t="s">
        <v>1173</v>
      </c>
      <c r="E17" s="7" t="s">
        <v>1166</v>
      </c>
      <c r="F17" s="7" t="b">
        <v>0</v>
      </c>
      <c r="G17" s="7"/>
      <c r="H17" s="9"/>
      <c r="I17" s="7" t="s">
        <v>1167</v>
      </c>
      <c r="J17" s="7" t="s">
        <v>1167</v>
      </c>
      <c r="K17" s="13">
        <f>600*120*10^4*111%</f>
        <v>799200000.00000012</v>
      </c>
      <c r="L17" s="7"/>
      <c r="M17" s="7"/>
      <c r="N17" s="7"/>
      <c r="O17" s="7" t="b">
        <v>1</v>
      </c>
      <c r="P17" s="7"/>
      <c r="Q17" s="7"/>
      <c r="R17" s="7"/>
      <c r="S17" s="7"/>
      <c r="T17" s="7"/>
      <c r="U17" s="7"/>
      <c r="V17" s="7"/>
      <c r="W17" s="7" t="s">
        <v>1168</v>
      </c>
      <c r="X17" s="7"/>
      <c r="Y17" s="7"/>
      <c r="Z17" s="7"/>
    </row>
    <row r="18" spans="1:26">
      <c r="A18" s="7"/>
      <c r="B18" s="7"/>
      <c r="C18" s="7"/>
      <c r="D18" s="7" t="s">
        <v>1174</v>
      </c>
      <c r="E18" s="7" t="s">
        <v>1166</v>
      </c>
      <c r="F18" s="7" t="b">
        <v>0</v>
      </c>
      <c r="G18" s="7"/>
      <c r="H18" s="9"/>
      <c r="I18" s="7" t="s">
        <v>1167</v>
      </c>
      <c r="J18" s="7" t="s">
        <v>1167</v>
      </c>
      <c r="K18" s="13">
        <f>700*120*10^4*111%</f>
        <v>932400000.00000012</v>
      </c>
      <c r="L18" s="7"/>
      <c r="M18" s="7"/>
      <c r="N18" s="7"/>
      <c r="O18" s="7" t="b">
        <v>1</v>
      </c>
      <c r="P18" s="7"/>
      <c r="Q18" s="7"/>
      <c r="R18" s="7"/>
      <c r="S18" s="7"/>
      <c r="T18" s="7"/>
      <c r="U18" s="7"/>
      <c r="V18" s="7"/>
      <c r="W18" s="7" t="s">
        <v>1168</v>
      </c>
      <c r="X18" s="7"/>
      <c r="Y18" s="7"/>
      <c r="Z18" s="7"/>
    </row>
    <row r="19" spans="1:26">
      <c r="A19" s="7"/>
      <c r="B19" s="7"/>
      <c r="C19" s="7"/>
      <c r="D19" s="7" t="s">
        <v>1175</v>
      </c>
      <c r="E19" s="7" t="s">
        <v>1166</v>
      </c>
      <c r="F19" s="7" t="b">
        <v>0</v>
      </c>
      <c r="G19" s="7"/>
      <c r="H19" s="9"/>
      <c r="I19" s="7" t="s">
        <v>1167</v>
      </c>
      <c r="J19" s="7" t="s">
        <v>1167</v>
      </c>
      <c r="K19" s="13">
        <f>800*120*10^4*111%</f>
        <v>1065600000.0000001</v>
      </c>
      <c r="L19" s="7"/>
      <c r="M19" s="7"/>
      <c r="N19" s="7"/>
      <c r="O19" s="7" t="b">
        <v>1</v>
      </c>
      <c r="P19" s="7"/>
      <c r="Q19" s="7"/>
      <c r="R19" s="7"/>
      <c r="S19" s="7"/>
      <c r="T19" s="7"/>
      <c r="U19" s="7"/>
      <c r="V19" s="7"/>
      <c r="W19" s="7" t="s">
        <v>1168</v>
      </c>
      <c r="X19" s="7"/>
      <c r="Y19" s="7"/>
      <c r="Z19" s="7"/>
    </row>
    <row r="20" spans="1:26">
      <c r="A20" s="7"/>
      <c r="B20" s="7"/>
      <c r="C20" s="7"/>
      <c r="D20" s="7" t="s">
        <v>1176</v>
      </c>
      <c r="E20" s="7" t="s">
        <v>1166</v>
      </c>
      <c r="F20" s="7" t="b">
        <v>0</v>
      </c>
      <c r="G20" s="7"/>
      <c r="H20" s="9"/>
      <c r="I20" s="7" t="s">
        <v>1167</v>
      </c>
      <c r="J20" s="7" t="s">
        <v>1167</v>
      </c>
      <c r="K20" s="13">
        <f>900*120*10^4*111%</f>
        <v>1198800000</v>
      </c>
      <c r="L20" s="7"/>
      <c r="M20" s="7"/>
      <c r="N20" s="7"/>
      <c r="O20" s="7" t="b">
        <v>1</v>
      </c>
      <c r="P20" s="7"/>
      <c r="Q20" s="7"/>
      <c r="R20" s="7"/>
      <c r="S20" s="7"/>
      <c r="T20" s="7"/>
      <c r="U20" s="7"/>
      <c r="V20" s="7"/>
      <c r="W20" s="7" t="s">
        <v>1168</v>
      </c>
      <c r="X20" s="7"/>
      <c r="Y20" s="7"/>
      <c r="Z20" s="7"/>
    </row>
    <row r="21" spans="1:26" ht="15.75" customHeight="1">
      <c r="A21" s="7"/>
      <c r="B21" s="7"/>
      <c r="C21" s="7"/>
      <c r="D21" s="7" t="s">
        <v>1177</v>
      </c>
      <c r="E21" s="7" t="s">
        <v>1166</v>
      </c>
      <c r="F21" s="7" t="b">
        <v>0</v>
      </c>
      <c r="G21" s="7"/>
      <c r="H21" s="9"/>
      <c r="I21" s="7" t="s">
        <v>1167</v>
      </c>
      <c r="J21" s="7" t="s">
        <v>1167</v>
      </c>
      <c r="K21" s="13">
        <f>1000*1350*10^3*111%</f>
        <v>1498500000.0000002</v>
      </c>
      <c r="L21" s="7"/>
      <c r="M21" s="7"/>
      <c r="N21" s="7"/>
      <c r="O21" s="7" t="b">
        <v>1</v>
      </c>
      <c r="P21" s="7"/>
      <c r="Q21" s="7"/>
      <c r="R21" s="7"/>
      <c r="S21" s="7"/>
      <c r="T21" s="7"/>
      <c r="U21" s="7"/>
      <c r="V21" s="7"/>
      <c r="W21" s="7" t="s">
        <v>1168</v>
      </c>
      <c r="X21" s="7"/>
      <c r="Y21" s="7"/>
      <c r="Z21" s="7"/>
    </row>
    <row r="22" spans="1:26" ht="15.75" customHeight="1">
      <c r="A22" s="7"/>
      <c r="B22" s="7"/>
      <c r="C22" s="7"/>
      <c r="D22" s="7" t="s">
        <v>1178</v>
      </c>
      <c r="E22" s="7" t="s">
        <v>1166</v>
      </c>
      <c r="F22" s="7" t="b">
        <v>0</v>
      </c>
      <c r="G22" s="7"/>
      <c r="H22" s="9"/>
      <c r="I22" s="7" t="s">
        <v>1167</v>
      </c>
      <c r="J22" s="7" t="s">
        <v>1167</v>
      </c>
      <c r="K22" s="13">
        <f>1400*1350*10^3*111%</f>
        <v>2097900000.0000002</v>
      </c>
      <c r="L22" s="13"/>
      <c r="M22" s="7"/>
      <c r="N22" s="7"/>
      <c r="O22" s="7" t="b">
        <v>1</v>
      </c>
      <c r="P22" s="7"/>
      <c r="Q22" s="7"/>
      <c r="R22" s="7"/>
      <c r="S22" s="7"/>
      <c r="T22" s="7"/>
      <c r="U22" s="7"/>
      <c r="V22" s="7"/>
      <c r="W22" s="7" t="s">
        <v>1168</v>
      </c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11" t="s">
        <v>993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 t="s">
        <v>1179</v>
      </c>
      <c r="E26" s="7" t="s">
        <v>1166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 t="s">
        <v>1180</v>
      </c>
      <c r="E27" s="7" t="s">
        <v>1166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 t="s">
        <v>1181</v>
      </c>
      <c r="E28" s="7" t="s">
        <v>1166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 t="s">
        <v>1182</v>
      </c>
      <c r="E29" s="7" t="s">
        <v>1166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 t="s">
        <v>1183</v>
      </c>
      <c r="E30" s="7" t="s">
        <v>1166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 t="s">
        <v>1184</v>
      </c>
      <c r="E31" s="7" t="s">
        <v>1166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 t="s">
        <v>1185</v>
      </c>
      <c r="E32" s="7" t="s">
        <v>1166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 t="s">
        <v>1186</v>
      </c>
      <c r="E33" s="7" t="s">
        <v>1166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 t="s">
        <v>1187</v>
      </c>
      <c r="E34" s="7" t="s">
        <v>1166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 t="s">
        <v>1188</v>
      </c>
      <c r="E35" s="7" t="s">
        <v>1166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 t="s">
        <v>1189</v>
      </c>
      <c r="E36" s="7" t="s">
        <v>1166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/>
    <row r="39" spans="1:26" ht="15.75" customHeight="1"/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Z1"/>
    <mergeCell ref="A2:Z2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1" width="24" customWidth="1"/>
    <col min="2" max="5" width="18" customWidth="1"/>
    <col min="6" max="6" width="23" customWidth="1"/>
    <col min="7" max="26" width="8.7109375" customWidth="1"/>
  </cols>
  <sheetData>
    <row r="1" spans="1:6" ht="18.75">
      <c r="A1" s="28" t="s">
        <v>1190</v>
      </c>
      <c r="B1" s="29"/>
      <c r="C1" s="29"/>
      <c r="D1" s="29"/>
      <c r="E1" s="29"/>
      <c r="F1" s="29"/>
    </row>
    <row r="2" spans="1:6" ht="37.5" customHeight="1">
      <c r="A2" s="31" t="s">
        <v>1191</v>
      </c>
      <c r="B2" s="29"/>
      <c r="C2" s="29"/>
      <c r="D2" s="29"/>
      <c r="E2" s="29"/>
      <c r="F2" s="29"/>
    </row>
    <row r="4" spans="1:6">
      <c r="A4" s="1" t="s">
        <v>1192</v>
      </c>
      <c r="B4" s="1" t="s">
        <v>1193</v>
      </c>
      <c r="C4" s="1" t="s">
        <v>1194</v>
      </c>
      <c r="D4" s="1" t="s">
        <v>1195</v>
      </c>
      <c r="E4" s="1" t="s">
        <v>7</v>
      </c>
      <c r="F4" s="1" t="s">
        <v>1196</v>
      </c>
    </row>
    <row r="5" spans="1:6">
      <c r="A5" s="2" t="s">
        <v>1197</v>
      </c>
      <c r="B5" s="2" t="s">
        <v>1198</v>
      </c>
      <c r="C5" s="2" t="s">
        <v>1199</v>
      </c>
      <c r="D5" s="2" t="s">
        <v>1200</v>
      </c>
      <c r="E5" s="3" t="s">
        <v>763</v>
      </c>
      <c r="F5" s="3" t="s">
        <v>1201</v>
      </c>
    </row>
    <row r="6" spans="1:6">
      <c r="A6" s="4" t="s">
        <v>36</v>
      </c>
      <c r="B6" s="4" t="s">
        <v>36</v>
      </c>
      <c r="C6" s="4" t="s">
        <v>36</v>
      </c>
      <c r="D6" s="4" t="s">
        <v>36</v>
      </c>
      <c r="E6" s="4" t="s">
        <v>38</v>
      </c>
      <c r="F6" s="4" t="s">
        <v>38</v>
      </c>
    </row>
    <row r="7" spans="1:6" ht="90" customHeight="1">
      <c r="A7" s="5" t="s">
        <v>1202</v>
      </c>
      <c r="B7" s="5" t="s">
        <v>1203</v>
      </c>
      <c r="C7" s="5" t="s">
        <v>1204</v>
      </c>
      <c r="D7" s="5" t="s">
        <v>1205</v>
      </c>
      <c r="E7" s="5" t="s">
        <v>1206</v>
      </c>
      <c r="F7" s="5" t="s">
        <v>1207</v>
      </c>
    </row>
    <row r="8" spans="1:6">
      <c r="A8" s="6" t="s">
        <v>1145</v>
      </c>
      <c r="B8" s="6">
        <v>1</v>
      </c>
      <c r="C8" s="6" t="s">
        <v>1208</v>
      </c>
      <c r="D8" s="6">
        <v>3500000</v>
      </c>
      <c r="E8" s="6" t="s">
        <v>54</v>
      </c>
      <c r="F8" s="6"/>
    </row>
    <row r="9" spans="1:6">
      <c r="A9" s="6" t="s">
        <v>1145</v>
      </c>
      <c r="B9" s="6">
        <v>7</v>
      </c>
      <c r="C9" s="6" t="s">
        <v>1208</v>
      </c>
      <c r="D9" s="6">
        <v>21000000</v>
      </c>
      <c r="E9" s="6" t="s">
        <v>54</v>
      </c>
      <c r="F9" s="6"/>
    </row>
    <row r="10" spans="1:6">
      <c r="A10" s="6" t="s">
        <v>1145</v>
      </c>
      <c r="B10" s="6">
        <v>1</v>
      </c>
      <c r="C10" s="6" t="s">
        <v>1209</v>
      </c>
      <c r="D10" s="6">
        <v>75000000</v>
      </c>
      <c r="E10" s="6" t="s">
        <v>54</v>
      </c>
      <c r="F10" s="6"/>
    </row>
    <row r="11" spans="1:6">
      <c r="A11" s="6" t="s">
        <v>1159</v>
      </c>
      <c r="B11" s="6">
        <v>1</v>
      </c>
      <c r="C11" s="6" t="s">
        <v>1208</v>
      </c>
      <c r="D11" s="6">
        <v>5000000</v>
      </c>
      <c r="E11" s="6" t="s">
        <v>54</v>
      </c>
      <c r="F11" s="6"/>
    </row>
    <row r="12" spans="1:6">
      <c r="A12" s="6" t="s">
        <v>1159</v>
      </c>
      <c r="B12" s="6">
        <v>1</v>
      </c>
      <c r="C12" s="6" t="s">
        <v>1210</v>
      </c>
      <c r="D12" s="6">
        <v>28000000</v>
      </c>
      <c r="E12" s="6" t="s">
        <v>54</v>
      </c>
      <c r="F12" s="6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 ht="15.75" customHeight="1">
      <c r="A21" s="7"/>
      <c r="B21" s="7"/>
      <c r="C21" s="7"/>
      <c r="D21" s="7"/>
      <c r="E21" s="7"/>
      <c r="F21" s="7"/>
    </row>
    <row r="22" spans="1:6" ht="15.75" customHeight="1">
      <c r="A22" s="7"/>
      <c r="B22" s="7"/>
      <c r="C22" s="7"/>
      <c r="D22" s="7"/>
      <c r="E22" s="7"/>
      <c r="F22" s="7"/>
    </row>
    <row r="23" spans="1:6" ht="15.75" customHeight="1">
      <c r="A23" s="7"/>
      <c r="B23" s="7"/>
      <c r="C23" s="7"/>
      <c r="D23" s="7"/>
      <c r="E23" s="7"/>
      <c r="F23" s="7"/>
    </row>
    <row r="24" spans="1:6" ht="15.75" customHeight="1">
      <c r="A24" s="7"/>
      <c r="B24" s="7"/>
      <c r="C24" s="7"/>
      <c r="D24" s="7"/>
      <c r="E24" s="7"/>
      <c r="F24" s="7"/>
    </row>
    <row r="25" spans="1:6" ht="15.75" customHeight="1">
      <c r="A25" s="7"/>
      <c r="B25" s="7"/>
      <c r="C25" s="7"/>
      <c r="D25" s="7"/>
      <c r="E25" s="7"/>
      <c r="F25" s="7"/>
    </row>
    <row r="26" spans="1:6" ht="15.75" customHeight="1">
      <c r="A26" s="7"/>
      <c r="B26" s="7"/>
      <c r="C26" s="7"/>
      <c r="D26" s="7"/>
      <c r="E26" s="7"/>
      <c r="F26" s="7"/>
    </row>
    <row r="27" spans="1:6" ht="15.75" customHeight="1">
      <c r="A27" s="7"/>
      <c r="B27" s="7"/>
      <c r="C27" s="7"/>
      <c r="D27" s="7"/>
      <c r="E27" s="7"/>
      <c r="F27" s="7"/>
    </row>
    <row r="28" spans="1:6" ht="15.75" customHeight="1">
      <c r="A28" s="7"/>
      <c r="B28" s="7"/>
      <c r="C28" s="7"/>
      <c r="D28" s="7"/>
      <c r="E28" s="7"/>
      <c r="F28" s="7"/>
    </row>
    <row r="29" spans="1:6" ht="15.75" customHeight="1">
      <c r="A29" s="7"/>
      <c r="B29" s="7"/>
      <c r="C29" s="7"/>
      <c r="D29" s="7"/>
      <c r="E29" s="7"/>
      <c r="F29" s="7"/>
    </row>
    <row r="30" spans="1:6" ht="15.75" customHeight="1">
      <c r="A30" s="7"/>
      <c r="B30" s="7"/>
      <c r="C30" s="7"/>
      <c r="D30" s="7"/>
      <c r="E30" s="7"/>
      <c r="F30" s="7"/>
    </row>
    <row r="31" spans="1:6" ht="15.75" customHeight="1">
      <c r="A31" s="7"/>
      <c r="B31" s="7"/>
      <c r="C31" s="7"/>
      <c r="D31" s="7"/>
      <c r="E31" s="7"/>
      <c r="F31" s="7"/>
    </row>
    <row r="32" spans="1:6" ht="15.75" customHeight="1">
      <c r="A32" s="7"/>
      <c r="B32" s="7"/>
      <c r="C32" s="7"/>
      <c r="D32" s="7"/>
      <c r="E32" s="7"/>
      <c r="F32" s="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1" width="28" customWidth="1"/>
    <col min="2" max="2" width="18" customWidth="1"/>
    <col min="3" max="3" width="33" customWidth="1"/>
    <col min="4" max="6" width="18" customWidth="1"/>
    <col min="7" max="26" width="8.7109375" customWidth="1"/>
  </cols>
  <sheetData>
    <row r="1" spans="1:6" ht="18.75">
      <c r="A1" s="28" t="s">
        <v>1211</v>
      </c>
      <c r="B1" s="29"/>
      <c r="C1" s="29"/>
      <c r="D1" s="29"/>
      <c r="E1" s="29"/>
      <c r="F1" s="29"/>
    </row>
    <row r="2" spans="1:6" ht="37.5" customHeight="1">
      <c r="A2" s="31" t="s">
        <v>1212</v>
      </c>
      <c r="B2" s="29"/>
      <c r="C2" s="29"/>
      <c r="D2" s="29"/>
      <c r="E2" s="29"/>
      <c r="F2" s="29"/>
    </row>
    <row r="3" spans="1:6">
      <c r="E3" s="14"/>
    </row>
    <row r="4" spans="1:6">
      <c r="A4" s="15" t="s">
        <v>1213</v>
      </c>
      <c r="B4" s="15" t="s">
        <v>1214</v>
      </c>
      <c r="C4" s="15" t="s">
        <v>1215</v>
      </c>
      <c r="D4" s="15" t="s">
        <v>1216</v>
      </c>
      <c r="E4" s="16" t="s">
        <v>1217</v>
      </c>
      <c r="F4" s="15" t="s">
        <v>74</v>
      </c>
    </row>
    <row r="5" spans="1:6">
      <c r="A5" s="17" t="s">
        <v>1218</v>
      </c>
      <c r="B5" s="18" t="s">
        <v>1219</v>
      </c>
      <c r="C5" s="17" t="s">
        <v>1220</v>
      </c>
      <c r="D5" s="17" t="s">
        <v>1221</v>
      </c>
      <c r="E5" s="19" t="s">
        <v>1222</v>
      </c>
      <c r="F5" s="18" t="s">
        <v>85</v>
      </c>
    </row>
    <row r="6" spans="1:6">
      <c r="A6" s="20" t="s">
        <v>36</v>
      </c>
      <c r="B6" s="20" t="s">
        <v>38</v>
      </c>
      <c r="C6" s="20" t="s">
        <v>36</v>
      </c>
      <c r="D6" s="20" t="s">
        <v>36</v>
      </c>
      <c r="E6" s="21" t="s">
        <v>38</v>
      </c>
      <c r="F6" s="20" t="s">
        <v>38</v>
      </c>
    </row>
    <row r="7" spans="1:6" ht="90" customHeight="1">
      <c r="A7" s="22" t="s">
        <v>1223</v>
      </c>
      <c r="B7" s="22" t="s">
        <v>1224</v>
      </c>
      <c r="C7" s="22" t="s">
        <v>1225</v>
      </c>
      <c r="D7" s="22" t="s">
        <v>1024</v>
      </c>
      <c r="E7" s="23" t="s">
        <v>1226</v>
      </c>
      <c r="F7" s="22"/>
    </row>
    <row r="8" spans="1:6">
      <c r="A8" s="24" t="s">
        <v>1227</v>
      </c>
      <c r="B8" s="24">
        <v>10</v>
      </c>
      <c r="C8" s="24" t="s">
        <v>1228</v>
      </c>
      <c r="D8" s="24">
        <v>1500</v>
      </c>
      <c r="E8" s="25">
        <v>15100000</v>
      </c>
      <c r="F8" s="24" t="s">
        <v>1229</v>
      </c>
    </row>
    <row r="9" spans="1:6">
      <c r="A9" s="24" t="s">
        <v>1227</v>
      </c>
      <c r="B9" s="24">
        <v>20</v>
      </c>
      <c r="C9" s="24" t="s">
        <v>1230</v>
      </c>
      <c r="D9" s="24">
        <v>1600</v>
      </c>
      <c r="E9" s="25">
        <v>1700000</v>
      </c>
      <c r="F9" s="24" t="s">
        <v>1231</v>
      </c>
    </row>
    <row r="10" spans="1:6">
      <c r="A10" s="24" t="s">
        <v>1227</v>
      </c>
      <c r="B10" s="24">
        <v>30</v>
      </c>
      <c r="C10" s="24" t="s">
        <v>1232</v>
      </c>
      <c r="D10" s="24">
        <v>53</v>
      </c>
      <c r="E10" s="25">
        <v>14500000</v>
      </c>
      <c r="F10" s="24" t="s">
        <v>1233</v>
      </c>
    </row>
    <row r="11" spans="1:6">
      <c r="A11" s="24" t="s">
        <v>1227</v>
      </c>
      <c r="B11" s="7"/>
      <c r="C11" s="24" t="s">
        <v>1234</v>
      </c>
      <c r="D11" s="7">
        <v>3</v>
      </c>
      <c r="E11" s="26">
        <v>27500000</v>
      </c>
      <c r="F11" s="7"/>
    </row>
    <row r="12" spans="1:6">
      <c r="A12" s="24" t="s">
        <v>1227</v>
      </c>
      <c r="B12" s="7"/>
      <c r="C12" s="24" t="s">
        <v>1235</v>
      </c>
      <c r="D12" s="7">
        <v>12</v>
      </c>
      <c r="E12" s="26">
        <v>470000</v>
      </c>
      <c r="F12" s="7"/>
    </row>
    <row r="13" spans="1:6">
      <c r="A13" s="24" t="s">
        <v>1227</v>
      </c>
      <c r="B13" s="7"/>
      <c r="C13" s="24" t="s">
        <v>1236</v>
      </c>
      <c r="D13" s="7">
        <v>3</v>
      </c>
      <c r="E13" s="26">
        <v>632000</v>
      </c>
      <c r="F13" s="7"/>
    </row>
    <row r="14" spans="1:6" ht="25.5">
      <c r="A14" s="24" t="s">
        <v>1227</v>
      </c>
      <c r="B14" s="7"/>
      <c r="C14" s="24" t="s">
        <v>1237</v>
      </c>
      <c r="D14" s="7">
        <v>3</v>
      </c>
      <c r="E14" s="26">
        <v>12100000</v>
      </c>
      <c r="F14" s="7"/>
    </row>
    <row r="15" spans="1:6" ht="25.5">
      <c r="A15" s="24" t="s">
        <v>1227</v>
      </c>
      <c r="B15" s="7"/>
      <c r="C15" s="24" t="s">
        <v>1238</v>
      </c>
      <c r="D15" s="7">
        <v>11</v>
      </c>
      <c r="E15" s="26">
        <v>160000</v>
      </c>
      <c r="F15" s="7"/>
    </row>
    <row r="16" spans="1:6">
      <c r="A16" s="24" t="s">
        <v>1227</v>
      </c>
      <c r="B16" s="7"/>
      <c r="C16" s="24" t="s">
        <v>1239</v>
      </c>
      <c r="D16" s="7">
        <v>11</v>
      </c>
      <c r="E16" s="26">
        <v>2800000</v>
      </c>
      <c r="F16" s="7"/>
    </row>
    <row r="17" spans="1:6">
      <c r="A17" s="24" t="s">
        <v>1227</v>
      </c>
      <c r="B17" s="7"/>
      <c r="C17" s="24" t="s">
        <v>1240</v>
      </c>
      <c r="D17" s="7">
        <v>11</v>
      </c>
      <c r="E17" s="26">
        <v>230000</v>
      </c>
      <c r="F17" s="7"/>
    </row>
    <row r="18" spans="1:6">
      <c r="A18" s="24" t="s">
        <v>1227</v>
      </c>
      <c r="B18" s="7"/>
      <c r="C18" s="24" t="s">
        <v>1241</v>
      </c>
      <c r="D18" s="7">
        <v>32</v>
      </c>
      <c r="E18" s="26">
        <v>685000</v>
      </c>
      <c r="F18" s="7"/>
    </row>
    <row r="19" spans="1:6">
      <c r="A19" s="24" t="s">
        <v>1227</v>
      </c>
      <c r="B19" s="7"/>
      <c r="C19" s="24" t="s">
        <v>1242</v>
      </c>
      <c r="D19" s="7">
        <v>75</v>
      </c>
      <c r="E19" s="26">
        <v>115000</v>
      </c>
      <c r="F19" s="7"/>
    </row>
    <row r="20" spans="1:6">
      <c r="A20" s="24" t="s">
        <v>1227</v>
      </c>
      <c r="B20" s="7"/>
      <c r="C20" s="24" t="s">
        <v>1243</v>
      </c>
      <c r="D20" s="7">
        <v>3</v>
      </c>
      <c r="E20" s="26">
        <v>159800000</v>
      </c>
      <c r="F20" s="7"/>
    </row>
    <row r="21" spans="1:6" ht="15.75" customHeight="1">
      <c r="A21" s="24" t="s">
        <v>1227</v>
      </c>
      <c r="B21" s="7"/>
      <c r="C21" s="24" t="s">
        <v>1244</v>
      </c>
      <c r="D21" s="7">
        <v>3</v>
      </c>
      <c r="E21" s="26">
        <v>139200000</v>
      </c>
      <c r="F21" s="7"/>
    </row>
    <row r="22" spans="1:6" ht="15.75" customHeight="1">
      <c r="A22" s="7"/>
      <c r="B22" s="7"/>
      <c r="C22" s="6"/>
      <c r="D22" s="7"/>
      <c r="E22" s="26"/>
      <c r="F22" s="7"/>
    </row>
    <row r="23" spans="1:6" ht="15.75" customHeight="1">
      <c r="A23" s="7"/>
      <c r="B23" s="7"/>
      <c r="C23" s="6"/>
      <c r="D23" s="7"/>
      <c r="E23" s="26"/>
      <c r="F23" s="7"/>
    </row>
    <row r="24" spans="1:6" ht="15.75" customHeight="1">
      <c r="A24" s="7"/>
      <c r="B24" s="7"/>
      <c r="C24" s="6"/>
      <c r="D24" s="7"/>
      <c r="E24" s="26"/>
      <c r="F24" s="7"/>
    </row>
    <row r="25" spans="1:6" ht="15.75" customHeight="1">
      <c r="A25" s="7"/>
      <c r="B25" s="7"/>
      <c r="C25" s="7"/>
      <c r="D25" s="7"/>
      <c r="E25" s="26"/>
      <c r="F25" s="7"/>
    </row>
    <row r="26" spans="1:6" ht="15.75" customHeight="1">
      <c r="E26" s="14"/>
    </row>
    <row r="27" spans="1:6" ht="15.75" customHeight="1">
      <c r="E27" s="14"/>
    </row>
    <row r="28" spans="1:6" ht="15.75" customHeight="1">
      <c r="E28" s="14"/>
    </row>
    <row r="29" spans="1:6" ht="15.75" customHeight="1">
      <c r="E29" s="14"/>
    </row>
    <row r="30" spans="1:6" ht="15.75" customHeight="1">
      <c r="E30" s="14"/>
    </row>
    <row r="31" spans="1:6" ht="15.75" customHeight="1">
      <c r="E31" s="14"/>
    </row>
    <row r="32" spans="1:6" ht="15.75" customHeight="1">
      <c r="E32" s="14"/>
    </row>
    <row r="33" spans="5:5" ht="15.75" customHeight="1">
      <c r="E33" s="14"/>
    </row>
    <row r="34" spans="5:5" ht="15.75" customHeight="1">
      <c r="E34" s="14"/>
    </row>
    <row r="35" spans="5:5" ht="15.75" customHeight="1">
      <c r="E35" s="14"/>
    </row>
    <row r="36" spans="5:5" ht="15.75" customHeight="1">
      <c r="E36" s="14"/>
    </row>
    <row r="37" spans="5:5" ht="15.75" customHeight="1">
      <c r="E37" s="14"/>
    </row>
    <row r="38" spans="5:5" ht="15.75" customHeight="1">
      <c r="E38" s="14"/>
    </row>
    <row r="39" spans="5:5" ht="15.75" customHeight="1">
      <c r="E39" s="14"/>
    </row>
    <row r="40" spans="5:5" ht="15.75" customHeight="1">
      <c r="E40" s="14"/>
    </row>
    <row r="41" spans="5:5" ht="15.75" customHeight="1">
      <c r="E41" s="14"/>
    </row>
    <row r="42" spans="5:5" ht="15.75" customHeight="1">
      <c r="E42" s="14"/>
    </row>
    <row r="43" spans="5:5" ht="15.75" customHeight="1">
      <c r="E43" s="14"/>
    </row>
    <row r="44" spans="5:5" ht="15.75" customHeight="1">
      <c r="E44" s="14"/>
    </row>
    <row r="45" spans="5:5" ht="15.75" customHeight="1">
      <c r="E45" s="14"/>
    </row>
    <row r="46" spans="5:5" ht="15.75" customHeight="1">
      <c r="E46" s="14"/>
    </row>
    <row r="47" spans="5:5" ht="15.75" customHeight="1">
      <c r="E47" s="14"/>
    </row>
    <row r="48" spans="5:5" ht="15.75" customHeight="1">
      <c r="E48" s="14"/>
    </row>
    <row r="49" spans="5:5" ht="15.75" customHeight="1">
      <c r="E49" s="14"/>
    </row>
    <row r="50" spans="5:5" ht="15.75" customHeight="1">
      <c r="E50" s="14"/>
    </row>
    <row r="51" spans="5:5" ht="15.75" customHeight="1">
      <c r="E51" s="14"/>
    </row>
    <row r="52" spans="5:5" ht="15.75" customHeight="1">
      <c r="E52" s="14"/>
    </row>
    <row r="53" spans="5:5" ht="15.75" customHeight="1">
      <c r="E53" s="14"/>
    </row>
    <row r="54" spans="5:5" ht="15.75" customHeight="1">
      <c r="E54" s="14"/>
    </row>
    <row r="55" spans="5:5" ht="15.75" customHeight="1">
      <c r="E55" s="14"/>
    </row>
    <row r="56" spans="5:5" ht="15.75" customHeight="1">
      <c r="E56" s="14"/>
    </row>
    <row r="57" spans="5:5" ht="15.75" customHeight="1">
      <c r="E57" s="14"/>
    </row>
    <row r="58" spans="5:5" ht="15.75" customHeight="1">
      <c r="E58" s="14"/>
    </row>
    <row r="59" spans="5:5" ht="15.75" customHeight="1">
      <c r="E59" s="14"/>
    </row>
    <row r="60" spans="5:5" ht="15.75" customHeight="1">
      <c r="E60" s="14"/>
    </row>
    <row r="61" spans="5:5" ht="15.75" customHeight="1">
      <c r="E61" s="14"/>
    </row>
    <row r="62" spans="5:5" ht="15.75" customHeight="1">
      <c r="E62" s="14"/>
    </row>
    <row r="63" spans="5:5" ht="15.75" customHeight="1">
      <c r="E63" s="14"/>
    </row>
    <row r="64" spans="5:5" ht="15.75" customHeight="1">
      <c r="E64" s="14"/>
    </row>
    <row r="65" spans="5:5" ht="15.75" customHeight="1">
      <c r="E65" s="14"/>
    </row>
    <row r="66" spans="5:5" ht="15.75" customHeight="1">
      <c r="E66" s="14"/>
    </row>
    <row r="67" spans="5:5" ht="15.75" customHeight="1">
      <c r="E67" s="14"/>
    </row>
    <row r="68" spans="5:5" ht="15.75" customHeight="1">
      <c r="E68" s="14"/>
    </row>
    <row r="69" spans="5:5" ht="15.75" customHeight="1">
      <c r="E69" s="14"/>
    </row>
    <row r="70" spans="5:5" ht="15.75" customHeight="1">
      <c r="E70" s="14"/>
    </row>
    <row r="71" spans="5:5" ht="15.75" customHeight="1">
      <c r="E71" s="14"/>
    </row>
    <row r="72" spans="5:5" ht="15.75" customHeight="1">
      <c r="E72" s="14"/>
    </row>
    <row r="73" spans="5:5" ht="15.75" customHeight="1">
      <c r="E73" s="14"/>
    </row>
    <row r="74" spans="5:5" ht="15.75" customHeight="1">
      <c r="E74" s="14"/>
    </row>
    <row r="75" spans="5:5" ht="15.75" customHeight="1">
      <c r="E75" s="14"/>
    </row>
    <row r="76" spans="5:5" ht="15.75" customHeight="1">
      <c r="E76" s="14"/>
    </row>
    <row r="77" spans="5:5" ht="15.75" customHeight="1">
      <c r="E77" s="14"/>
    </row>
    <row r="78" spans="5:5" ht="15.75" customHeight="1">
      <c r="E78" s="14"/>
    </row>
    <row r="79" spans="5:5" ht="15.75" customHeight="1">
      <c r="E79" s="14"/>
    </row>
    <row r="80" spans="5:5" ht="15.75" customHeight="1">
      <c r="E80" s="14"/>
    </row>
    <row r="81" spans="5:5" ht="15.75" customHeight="1">
      <c r="E81" s="14"/>
    </row>
    <row r="82" spans="5:5" ht="15.75" customHeight="1">
      <c r="E82" s="14"/>
    </row>
    <row r="83" spans="5:5" ht="15.75" customHeight="1">
      <c r="E83" s="14"/>
    </row>
    <row r="84" spans="5:5" ht="15.75" customHeight="1">
      <c r="E84" s="14"/>
    </row>
    <row r="85" spans="5:5" ht="15.75" customHeight="1">
      <c r="E85" s="14"/>
    </row>
    <row r="86" spans="5:5" ht="15.75" customHeight="1">
      <c r="E86" s="14"/>
    </row>
    <row r="87" spans="5:5" ht="15.75" customHeight="1">
      <c r="E87" s="14"/>
    </row>
    <row r="88" spans="5:5" ht="15.75" customHeight="1">
      <c r="E88" s="14"/>
    </row>
    <row r="89" spans="5:5" ht="15.75" customHeight="1">
      <c r="E89" s="14"/>
    </row>
    <row r="90" spans="5:5" ht="15.75" customHeight="1">
      <c r="E90" s="14"/>
    </row>
    <row r="91" spans="5:5" ht="15.75" customHeight="1">
      <c r="E91" s="14"/>
    </row>
    <row r="92" spans="5:5" ht="15.75" customHeight="1">
      <c r="E92" s="14"/>
    </row>
    <row r="93" spans="5:5" ht="15.75" customHeight="1">
      <c r="E93" s="14"/>
    </row>
    <row r="94" spans="5:5" ht="15.75" customHeight="1">
      <c r="E94" s="14"/>
    </row>
    <row r="95" spans="5:5" ht="15.75" customHeight="1">
      <c r="E95" s="14"/>
    </row>
    <row r="96" spans="5:5" ht="15.75" customHeight="1">
      <c r="E96" s="14"/>
    </row>
    <row r="97" spans="5:5" ht="15.75" customHeight="1">
      <c r="E97" s="14"/>
    </row>
    <row r="98" spans="5:5" ht="15.75" customHeight="1">
      <c r="E98" s="14"/>
    </row>
    <row r="99" spans="5:5" ht="15.75" customHeight="1">
      <c r="E99" s="14"/>
    </row>
    <row r="100" spans="5:5" ht="15.75" customHeight="1">
      <c r="E100" s="14"/>
    </row>
    <row r="101" spans="5:5" ht="15.75" customHeight="1">
      <c r="E101" s="14"/>
    </row>
    <row r="102" spans="5:5" ht="15.75" customHeight="1">
      <c r="E102" s="14"/>
    </row>
    <row r="103" spans="5:5" ht="15.75" customHeight="1">
      <c r="E103" s="14"/>
    </row>
    <row r="104" spans="5:5" ht="15.75" customHeight="1">
      <c r="E104" s="14"/>
    </row>
    <row r="105" spans="5:5" ht="15.75" customHeight="1">
      <c r="E105" s="14"/>
    </row>
    <row r="106" spans="5:5" ht="15.75" customHeight="1">
      <c r="E106" s="14"/>
    </row>
    <row r="107" spans="5:5" ht="15.75" customHeight="1">
      <c r="E107" s="14"/>
    </row>
    <row r="108" spans="5:5" ht="15.75" customHeight="1">
      <c r="E108" s="14"/>
    </row>
    <row r="109" spans="5:5" ht="15.75" customHeight="1">
      <c r="E109" s="14"/>
    </row>
    <row r="110" spans="5:5" ht="15.75" customHeight="1">
      <c r="E110" s="14"/>
    </row>
    <row r="111" spans="5:5" ht="15.75" customHeight="1">
      <c r="E111" s="14"/>
    </row>
    <row r="112" spans="5:5" ht="15.75" customHeight="1">
      <c r="E112" s="14"/>
    </row>
    <row r="113" spans="5:5" ht="15.75" customHeight="1">
      <c r="E113" s="14"/>
    </row>
    <row r="114" spans="5:5" ht="15.75" customHeight="1">
      <c r="E114" s="14"/>
    </row>
    <row r="115" spans="5:5" ht="15.75" customHeight="1">
      <c r="E115" s="14"/>
    </row>
    <row r="116" spans="5:5" ht="15.75" customHeight="1">
      <c r="E116" s="14"/>
    </row>
    <row r="117" spans="5:5" ht="15.75" customHeight="1">
      <c r="E117" s="14"/>
    </row>
    <row r="118" spans="5:5" ht="15.75" customHeight="1">
      <c r="E118" s="14"/>
    </row>
    <row r="119" spans="5:5" ht="15.75" customHeight="1">
      <c r="E119" s="14"/>
    </row>
    <row r="120" spans="5:5" ht="15.75" customHeight="1">
      <c r="E120" s="14"/>
    </row>
    <row r="121" spans="5:5" ht="15.75" customHeight="1">
      <c r="E121" s="14"/>
    </row>
    <row r="122" spans="5:5" ht="15.75" customHeight="1">
      <c r="E122" s="14"/>
    </row>
    <row r="123" spans="5:5" ht="15.75" customHeight="1">
      <c r="E123" s="14"/>
    </row>
    <row r="124" spans="5:5" ht="15.75" customHeight="1">
      <c r="E124" s="14"/>
    </row>
    <row r="125" spans="5:5" ht="15.75" customHeight="1">
      <c r="E125" s="14"/>
    </row>
    <row r="126" spans="5:5" ht="15.75" customHeight="1">
      <c r="E126" s="14"/>
    </row>
    <row r="127" spans="5:5" ht="15.75" customHeight="1">
      <c r="E127" s="14"/>
    </row>
    <row r="128" spans="5:5" ht="15.75" customHeight="1">
      <c r="E128" s="14"/>
    </row>
    <row r="129" spans="5:5" ht="15.75" customHeight="1">
      <c r="E129" s="14"/>
    </row>
    <row r="130" spans="5:5" ht="15.75" customHeight="1">
      <c r="E130" s="14"/>
    </row>
    <row r="131" spans="5:5" ht="15.75" customHeight="1">
      <c r="E131" s="14"/>
    </row>
    <row r="132" spans="5:5" ht="15.75" customHeight="1">
      <c r="E132" s="14"/>
    </row>
    <row r="133" spans="5:5" ht="15.75" customHeight="1">
      <c r="E133" s="14"/>
    </row>
    <row r="134" spans="5:5" ht="15.75" customHeight="1">
      <c r="E134" s="14"/>
    </row>
    <row r="135" spans="5:5" ht="15.75" customHeight="1">
      <c r="E135" s="14"/>
    </row>
    <row r="136" spans="5:5" ht="15.75" customHeight="1">
      <c r="E136" s="14"/>
    </row>
    <row r="137" spans="5:5" ht="15.75" customHeight="1">
      <c r="E137" s="14"/>
    </row>
    <row r="138" spans="5:5" ht="15.75" customHeight="1">
      <c r="E138" s="14"/>
    </row>
    <row r="139" spans="5:5" ht="15.75" customHeight="1">
      <c r="E139" s="14"/>
    </row>
    <row r="140" spans="5:5" ht="15.75" customHeight="1">
      <c r="E140" s="14"/>
    </row>
    <row r="141" spans="5:5" ht="15.75" customHeight="1">
      <c r="E141" s="14"/>
    </row>
    <row r="142" spans="5:5" ht="15.75" customHeight="1">
      <c r="E142" s="14"/>
    </row>
    <row r="143" spans="5:5" ht="15.75" customHeight="1">
      <c r="E143" s="14"/>
    </row>
    <row r="144" spans="5:5" ht="15.75" customHeight="1">
      <c r="E144" s="14"/>
    </row>
    <row r="145" spans="5:5" ht="15.75" customHeight="1">
      <c r="E145" s="14"/>
    </row>
    <row r="146" spans="5:5" ht="15.75" customHeight="1">
      <c r="E146" s="14"/>
    </row>
    <row r="147" spans="5:5" ht="15.75" customHeight="1">
      <c r="E147" s="14"/>
    </row>
    <row r="148" spans="5:5" ht="15.75" customHeight="1">
      <c r="E148" s="14"/>
    </row>
    <row r="149" spans="5:5" ht="15.75" customHeight="1">
      <c r="E149" s="14"/>
    </row>
    <row r="150" spans="5:5" ht="15.75" customHeight="1">
      <c r="E150" s="14"/>
    </row>
    <row r="151" spans="5:5" ht="15.75" customHeight="1">
      <c r="E151" s="14"/>
    </row>
    <row r="152" spans="5:5" ht="15.75" customHeight="1">
      <c r="E152" s="14"/>
    </row>
    <row r="153" spans="5:5" ht="15.75" customHeight="1">
      <c r="E153" s="14"/>
    </row>
    <row r="154" spans="5:5" ht="15.75" customHeight="1">
      <c r="E154" s="14"/>
    </row>
    <row r="155" spans="5:5" ht="15.75" customHeight="1">
      <c r="E155" s="14"/>
    </row>
    <row r="156" spans="5:5" ht="15.75" customHeight="1">
      <c r="E156" s="14"/>
    </row>
    <row r="157" spans="5:5" ht="15.75" customHeight="1">
      <c r="E157" s="14"/>
    </row>
    <row r="158" spans="5:5" ht="15.75" customHeight="1">
      <c r="E158" s="14"/>
    </row>
    <row r="159" spans="5:5" ht="15.75" customHeight="1">
      <c r="E159" s="14"/>
    </row>
    <row r="160" spans="5:5" ht="15.75" customHeight="1">
      <c r="E160" s="14"/>
    </row>
    <row r="161" spans="5:5" ht="15.75" customHeight="1">
      <c r="E161" s="14"/>
    </row>
    <row r="162" spans="5:5" ht="15.75" customHeight="1">
      <c r="E162" s="14"/>
    </row>
    <row r="163" spans="5:5" ht="15.75" customHeight="1">
      <c r="E163" s="14"/>
    </row>
    <row r="164" spans="5:5" ht="15.75" customHeight="1">
      <c r="E164" s="14"/>
    </row>
    <row r="165" spans="5:5" ht="15.75" customHeight="1">
      <c r="E165" s="14"/>
    </row>
    <row r="166" spans="5:5" ht="15.75" customHeight="1">
      <c r="E166" s="14"/>
    </row>
    <row r="167" spans="5:5" ht="15.75" customHeight="1">
      <c r="E167" s="14"/>
    </row>
    <row r="168" spans="5:5" ht="15.75" customHeight="1">
      <c r="E168" s="14"/>
    </row>
    <row r="169" spans="5:5" ht="15.75" customHeight="1">
      <c r="E169" s="14"/>
    </row>
    <row r="170" spans="5:5" ht="15.75" customHeight="1">
      <c r="E170" s="14"/>
    </row>
    <row r="171" spans="5:5" ht="15.75" customHeight="1">
      <c r="E171" s="14"/>
    </row>
    <row r="172" spans="5:5" ht="15.75" customHeight="1">
      <c r="E172" s="14"/>
    </row>
    <row r="173" spans="5:5" ht="15.75" customHeight="1">
      <c r="E173" s="14"/>
    </row>
    <row r="174" spans="5:5" ht="15.75" customHeight="1">
      <c r="E174" s="14"/>
    </row>
    <row r="175" spans="5:5" ht="15.75" customHeight="1">
      <c r="E175" s="14"/>
    </row>
    <row r="176" spans="5:5" ht="15.75" customHeight="1">
      <c r="E176" s="14"/>
    </row>
    <row r="177" spans="5:5" ht="15.75" customHeight="1">
      <c r="E177" s="14"/>
    </row>
    <row r="178" spans="5:5" ht="15.75" customHeight="1">
      <c r="E178" s="14"/>
    </row>
    <row r="179" spans="5:5" ht="15.75" customHeight="1">
      <c r="E179" s="14"/>
    </row>
    <row r="180" spans="5:5" ht="15.75" customHeight="1">
      <c r="E180" s="14"/>
    </row>
    <row r="181" spans="5:5" ht="15.75" customHeight="1">
      <c r="E181" s="14"/>
    </row>
    <row r="182" spans="5:5" ht="15.75" customHeight="1">
      <c r="E182" s="14"/>
    </row>
    <row r="183" spans="5:5" ht="15.75" customHeight="1">
      <c r="E183" s="14"/>
    </row>
    <row r="184" spans="5:5" ht="15.75" customHeight="1">
      <c r="E184" s="14"/>
    </row>
    <row r="185" spans="5:5" ht="15.75" customHeight="1">
      <c r="E185" s="14"/>
    </row>
    <row r="186" spans="5:5" ht="15.75" customHeight="1">
      <c r="E186" s="14"/>
    </row>
    <row r="187" spans="5:5" ht="15.75" customHeight="1">
      <c r="E187" s="14"/>
    </row>
    <row r="188" spans="5:5" ht="15.75" customHeight="1">
      <c r="E188" s="14"/>
    </row>
    <row r="189" spans="5:5" ht="15.75" customHeight="1">
      <c r="E189" s="14"/>
    </row>
    <row r="190" spans="5:5" ht="15.75" customHeight="1">
      <c r="E190" s="14"/>
    </row>
    <row r="191" spans="5:5" ht="15.75" customHeight="1">
      <c r="E191" s="14"/>
    </row>
    <row r="192" spans="5:5" ht="15.75" customHeight="1">
      <c r="E192" s="14"/>
    </row>
    <row r="193" spans="5:5" ht="15.75" customHeight="1">
      <c r="E193" s="14"/>
    </row>
    <row r="194" spans="5:5" ht="15.75" customHeight="1">
      <c r="E194" s="14"/>
    </row>
    <row r="195" spans="5:5" ht="15.75" customHeight="1">
      <c r="E195" s="14"/>
    </row>
    <row r="196" spans="5:5" ht="15.75" customHeight="1">
      <c r="E196" s="14"/>
    </row>
    <row r="197" spans="5:5" ht="15.75" customHeight="1">
      <c r="E197" s="14"/>
    </row>
    <row r="198" spans="5:5" ht="15.75" customHeight="1">
      <c r="E198" s="14"/>
    </row>
    <row r="199" spans="5:5" ht="15.75" customHeight="1">
      <c r="E199" s="14"/>
    </row>
    <row r="200" spans="5:5" ht="15.75" customHeight="1">
      <c r="E200" s="14"/>
    </row>
    <row r="201" spans="5:5" ht="15.75" customHeight="1">
      <c r="E201" s="14"/>
    </row>
    <row r="202" spans="5:5" ht="15.75" customHeight="1">
      <c r="E202" s="14"/>
    </row>
    <row r="203" spans="5:5" ht="15.75" customHeight="1">
      <c r="E203" s="14"/>
    </row>
    <row r="204" spans="5:5" ht="15.75" customHeight="1">
      <c r="E204" s="14"/>
    </row>
    <row r="205" spans="5:5" ht="15.75" customHeight="1">
      <c r="E205" s="14"/>
    </row>
    <row r="206" spans="5:5" ht="15.75" customHeight="1">
      <c r="E206" s="14"/>
    </row>
    <row r="207" spans="5:5" ht="15.75" customHeight="1">
      <c r="E207" s="14"/>
    </row>
    <row r="208" spans="5:5" ht="15.75" customHeight="1">
      <c r="E208" s="14"/>
    </row>
    <row r="209" spans="5:5" ht="15.75" customHeight="1">
      <c r="E209" s="14"/>
    </row>
    <row r="210" spans="5:5" ht="15.75" customHeight="1">
      <c r="E210" s="14"/>
    </row>
    <row r="211" spans="5:5" ht="15.75" customHeight="1">
      <c r="E211" s="14"/>
    </row>
    <row r="212" spans="5:5" ht="15.75" customHeight="1">
      <c r="E212" s="14"/>
    </row>
    <row r="213" spans="5:5" ht="15.75" customHeight="1">
      <c r="E213" s="14"/>
    </row>
    <row r="214" spans="5:5" ht="15.75" customHeight="1">
      <c r="E214" s="14"/>
    </row>
    <row r="215" spans="5:5" ht="15.75" customHeight="1">
      <c r="E215" s="14"/>
    </row>
    <row r="216" spans="5:5" ht="15.75" customHeight="1">
      <c r="E216" s="14"/>
    </row>
    <row r="217" spans="5:5" ht="15.75" customHeight="1">
      <c r="E217" s="14"/>
    </row>
    <row r="218" spans="5:5" ht="15.75" customHeight="1">
      <c r="E218" s="14"/>
    </row>
    <row r="219" spans="5:5" ht="15.75" customHeight="1">
      <c r="E219" s="14"/>
    </row>
    <row r="220" spans="5:5" ht="15.75" customHeight="1">
      <c r="E220" s="14"/>
    </row>
    <row r="221" spans="5:5" ht="15.75" customHeight="1">
      <c r="E221" s="14"/>
    </row>
    <row r="222" spans="5:5" ht="15.75" customHeight="1">
      <c r="E222" s="14"/>
    </row>
    <row r="223" spans="5:5" ht="15.75" customHeight="1">
      <c r="E223" s="14"/>
    </row>
    <row r="224" spans="5:5" ht="15.75" customHeight="1">
      <c r="E224" s="14"/>
    </row>
    <row r="225" spans="5:5" ht="15.75" customHeight="1">
      <c r="E225" s="14"/>
    </row>
    <row r="226" spans="5:5" ht="15.75" customHeight="1">
      <c r="E226" s="14"/>
    </row>
    <row r="227" spans="5:5" ht="15.75" customHeight="1">
      <c r="E227" s="14"/>
    </row>
    <row r="228" spans="5:5" ht="15.75" customHeight="1">
      <c r="E228" s="14"/>
    </row>
    <row r="229" spans="5:5" ht="15.75" customHeight="1">
      <c r="E229" s="14"/>
    </row>
    <row r="230" spans="5:5" ht="15.75" customHeight="1">
      <c r="E230" s="14"/>
    </row>
    <row r="231" spans="5:5" ht="15.75" customHeight="1">
      <c r="E231" s="14"/>
    </row>
    <row r="232" spans="5:5" ht="15.75" customHeight="1">
      <c r="E232" s="14"/>
    </row>
    <row r="233" spans="5:5" ht="15.75" customHeight="1">
      <c r="E233" s="14"/>
    </row>
    <row r="234" spans="5:5" ht="15.75" customHeight="1">
      <c r="E234" s="14"/>
    </row>
    <row r="235" spans="5:5" ht="15.75" customHeight="1">
      <c r="E235" s="14"/>
    </row>
    <row r="236" spans="5:5" ht="15.75" customHeight="1">
      <c r="E236" s="14"/>
    </row>
    <row r="237" spans="5:5" ht="15.75" customHeight="1">
      <c r="E237" s="14"/>
    </row>
    <row r="238" spans="5:5" ht="15.75" customHeight="1">
      <c r="E238" s="14"/>
    </row>
    <row r="239" spans="5:5" ht="15.75" customHeight="1">
      <c r="E239" s="14"/>
    </row>
    <row r="240" spans="5:5" ht="15.75" customHeight="1">
      <c r="E240" s="14"/>
    </row>
    <row r="241" spans="5:5" ht="15.75" customHeight="1">
      <c r="E241" s="14"/>
    </row>
    <row r="242" spans="5:5" ht="15.75" customHeight="1">
      <c r="E242" s="14"/>
    </row>
    <row r="243" spans="5:5" ht="15.75" customHeight="1">
      <c r="E243" s="14"/>
    </row>
    <row r="244" spans="5:5" ht="15.75" customHeight="1">
      <c r="E244" s="14"/>
    </row>
    <row r="245" spans="5:5" ht="15.75" customHeight="1">
      <c r="E245" s="14"/>
    </row>
    <row r="246" spans="5:5" ht="15.75" customHeight="1">
      <c r="E246" s="14"/>
    </row>
    <row r="247" spans="5:5" ht="15.75" customHeight="1">
      <c r="E247" s="14"/>
    </row>
    <row r="248" spans="5:5" ht="15.75" customHeight="1">
      <c r="E248" s="14"/>
    </row>
    <row r="249" spans="5:5" ht="15.75" customHeight="1">
      <c r="E249" s="14"/>
    </row>
    <row r="250" spans="5:5" ht="15.75" customHeight="1">
      <c r="E250" s="14"/>
    </row>
    <row r="251" spans="5:5" ht="15.75" customHeight="1">
      <c r="E251" s="14"/>
    </row>
    <row r="252" spans="5:5" ht="15.75" customHeight="1">
      <c r="E252" s="14"/>
    </row>
    <row r="253" spans="5:5" ht="15.75" customHeight="1">
      <c r="E253" s="14"/>
    </row>
    <row r="254" spans="5:5" ht="15.75" customHeight="1">
      <c r="E254" s="14"/>
    </row>
    <row r="255" spans="5:5" ht="15.75" customHeight="1">
      <c r="E255" s="14"/>
    </row>
    <row r="256" spans="5:5" ht="15.75" customHeight="1">
      <c r="E256" s="14"/>
    </row>
    <row r="257" spans="5:5" ht="15.75" customHeight="1">
      <c r="E257" s="14"/>
    </row>
    <row r="258" spans="5:5" ht="15.75" customHeight="1">
      <c r="E258" s="14"/>
    </row>
    <row r="259" spans="5:5" ht="15.75" customHeight="1">
      <c r="E259" s="14"/>
    </row>
    <row r="260" spans="5:5" ht="15.75" customHeight="1">
      <c r="E260" s="14"/>
    </row>
    <row r="261" spans="5:5" ht="15.75" customHeight="1">
      <c r="E261" s="14"/>
    </row>
    <row r="262" spans="5:5" ht="15.75" customHeight="1">
      <c r="E262" s="14"/>
    </row>
    <row r="263" spans="5:5" ht="15.75" customHeight="1">
      <c r="E263" s="14"/>
    </row>
    <row r="264" spans="5:5" ht="15.75" customHeight="1">
      <c r="E264" s="14"/>
    </row>
    <row r="265" spans="5:5" ht="15.75" customHeight="1">
      <c r="E265" s="14"/>
    </row>
    <row r="266" spans="5:5" ht="15.75" customHeight="1">
      <c r="E266" s="14"/>
    </row>
    <row r="267" spans="5:5" ht="15.75" customHeight="1">
      <c r="E267" s="14"/>
    </row>
    <row r="268" spans="5:5" ht="15.75" customHeight="1">
      <c r="E268" s="14"/>
    </row>
    <row r="269" spans="5:5" ht="15.75" customHeight="1">
      <c r="E269" s="14"/>
    </row>
    <row r="270" spans="5:5" ht="15.75" customHeight="1">
      <c r="E270" s="14"/>
    </row>
    <row r="271" spans="5:5" ht="15.75" customHeight="1">
      <c r="E271" s="14"/>
    </row>
    <row r="272" spans="5:5" ht="15.75" customHeight="1">
      <c r="E272" s="14"/>
    </row>
    <row r="273" spans="5:5" ht="15.75" customHeight="1">
      <c r="E273" s="14"/>
    </row>
    <row r="274" spans="5:5" ht="15.75" customHeight="1">
      <c r="E274" s="14"/>
    </row>
    <row r="275" spans="5:5" ht="15.75" customHeight="1">
      <c r="E275" s="14"/>
    </row>
    <row r="276" spans="5:5" ht="15.75" customHeight="1">
      <c r="E276" s="14"/>
    </row>
    <row r="277" spans="5:5" ht="15.75" customHeight="1">
      <c r="E277" s="14"/>
    </row>
    <row r="278" spans="5:5" ht="15.75" customHeight="1">
      <c r="E278" s="14"/>
    </row>
    <row r="279" spans="5:5" ht="15.75" customHeight="1">
      <c r="E279" s="14"/>
    </row>
    <row r="280" spans="5:5" ht="15.75" customHeight="1">
      <c r="E280" s="14"/>
    </row>
    <row r="281" spans="5:5" ht="15.75" customHeight="1">
      <c r="E281" s="14"/>
    </row>
    <row r="282" spans="5:5" ht="15.75" customHeight="1">
      <c r="E282" s="14"/>
    </row>
    <row r="283" spans="5:5" ht="15.75" customHeight="1">
      <c r="E283" s="14"/>
    </row>
    <row r="284" spans="5:5" ht="15.75" customHeight="1">
      <c r="E284" s="14"/>
    </row>
    <row r="285" spans="5:5" ht="15.75" customHeight="1">
      <c r="E285" s="14"/>
    </row>
    <row r="286" spans="5:5" ht="15.75" customHeight="1">
      <c r="E286" s="14"/>
    </row>
    <row r="287" spans="5:5" ht="15.75" customHeight="1">
      <c r="E287" s="14"/>
    </row>
    <row r="288" spans="5:5" ht="15.75" customHeight="1">
      <c r="E288" s="14"/>
    </row>
    <row r="289" spans="5:5" ht="15.75" customHeight="1">
      <c r="E289" s="14"/>
    </row>
    <row r="290" spans="5:5" ht="15.75" customHeight="1">
      <c r="E290" s="14"/>
    </row>
    <row r="291" spans="5:5" ht="15.75" customHeight="1">
      <c r="E291" s="14"/>
    </row>
    <row r="292" spans="5:5" ht="15.75" customHeight="1">
      <c r="E292" s="14"/>
    </row>
    <row r="293" spans="5:5" ht="15.75" customHeight="1">
      <c r="E293" s="14"/>
    </row>
    <row r="294" spans="5:5" ht="15.75" customHeight="1">
      <c r="E294" s="14"/>
    </row>
    <row r="295" spans="5:5" ht="15.75" customHeight="1">
      <c r="E295" s="14"/>
    </row>
    <row r="296" spans="5:5" ht="15.75" customHeight="1">
      <c r="E296" s="14"/>
    </row>
    <row r="297" spans="5:5" ht="15.75" customHeight="1">
      <c r="E297" s="14"/>
    </row>
    <row r="298" spans="5:5" ht="15.75" customHeight="1">
      <c r="E298" s="14"/>
    </row>
    <row r="299" spans="5:5" ht="15.75" customHeight="1">
      <c r="E299" s="14"/>
    </row>
    <row r="300" spans="5:5" ht="15.75" customHeight="1">
      <c r="E300" s="14"/>
    </row>
    <row r="301" spans="5:5" ht="15.75" customHeight="1">
      <c r="E301" s="14"/>
    </row>
    <row r="302" spans="5:5" ht="15.75" customHeight="1">
      <c r="E302" s="14"/>
    </row>
    <row r="303" spans="5:5" ht="15.75" customHeight="1">
      <c r="E303" s="14"/>
    </row>
    <row r="304" spans="5:5" ht="15.75" customHeight="1">
      <c r="E304" s="14"/>
    </row>
    <row r="305" spans="5:5" ht="15.75" customHeight="1">
      <c r="E305" s="14"/>
    </row>
    <row r="306" spans="5:5" ht="15.75" customHeight="1">
      <c r="E306" s="14"/>
    </row>
    <row r="307" spans="5:5" ht="15.75" customHeight="1">
      <c r="E307" s="14"/>
    </row>
    <row r="308" spans="5:5" ht="15.75" customHeight="1">
      <c r="E308" s="14"/>
    </row>
    <row r="309" spans="5:5" ht="15.75" customHeight="1">
      <c r="E309" s="14"/>
    </row>
    <row r="310" spans="5:5" ht="15.75" customHeight="1">
      <c r="E310" s="14"/>
    </row>
    <row r="311" spans="5:5" ht="15.75" customHeight="1">
      <c r="E311" s="14"/>
    </row>
    <row r="312" spans="5:5" ht="15.75" customHeight="1">
      <c r="E312" s="14"/>
    </row>
    <row r="313" spans="5:5" ht="15.75" customHeight="1">
      <c r="E313" s="14"/>
    </row>
    <row r="314" spans="5:5" ht="15.75" customHeight="1">
      <c r="E314" s="14"/>
    </row>
    <row r="315" spans="5:5" ht="15.75" customHeight="1">
      <c r="E315" s="14"/>
    </row>
    <row r="316" spans="5:5" ht="15.75" customHeight="1">
      <c r="E316" s="14"/>
    </row>
    <row r="317" spans="5:5" ht="15.75" customHeight="1">
      <c r="E317" s="14"/>
    </row>
    <row r="318" spans="5:5" ht="15.75" customHeight="1">
      <c r="E318" s="14"/>
    </row>
    <row r="319" spans="5:5" ht="15.75" customHeight="1">
      <c r="E319" s="14"/>
    </row>
    <row r="320" spans="5:5" ht="15.75" customHeight="1">
      <c r="E320" s="14"/>
    </row>
    <row r="321" spans="5:5" ht="15.75" customHeight="1">
      <c r="E321" s="14"/>
    </row>
    <row r="322" spans="5:5" ht="15.75" customHeight="1">
      <c r="E322" s="14"/>
    </row>
    <row r="323" spans="5:5" ht="15.75" customHeight="1">
      <c r="E323" s="14"/>
    </row>
    <row r="324" spans="5:5" ht="15.75" customHeight="1">
      <c r="E324" s="14"/>
    </row>
    <row r="325" spans="5:5" ht="15.75" customHeight="1">
      <c r="E325" s="14"/>
    </row>
    <row r="326" spans="5:5" ht="15.75" customHeight="1">
      <c r="E326" s="14"/>
    </row>
    <row r="327" spans="5:5" ht="15.75" customHeight="1">
      <c r="E327" s="14"/>
    </row>
    <row r="328" spans="5:5" ht="15.75" customHeight="1">
      <c r="E328" s="14"/>
    </row>
    <row r="329" spans="5:5" ht="15.75" customHeight="1">
      <c r="E329" s="14"/>
    </row>
    <row r="330" spans="5:5" ht="15.75" customHeight="1">
      <c r="E330" s="14"/>
    </row>
    <row r="331" spans="5:5" ht="15.75" customHeight="1">
      <c r="E331" s="14"/>
    </row>
    <row r="332" spans="5:5" ht="15.75" customHeight="1">
      <c r="E332" s="14"/>
    </row>
    <row r="333" spans="5:5" ht="15.75" customHeight="1">
      <c r="E333" s="14"/>
    </row>
    <row r="334" spans="5:5" ht="15.75" customHeight="1">
      <c r="E334" s="14"/>
    </row>
    <row r="335" spans="5:5" ht="15.75" customHeight="1">
      <c r="E335" s="14"/>
    </row>
    <row r="336" spans="5:5" ht="15.75" customHeight="1">
      <c r="E336" s="14"/>
    </row>
    <row r="337" spans="5:5" ht="15.75" customHeight="1">
      <c r="E337" s="14"/>
    </row>
    <row r="338" spans="5:5" ht="15.75" customHeight="1">
      <c r="E338" s="14"/>
    </row>
    <row r="339" spans="5:5" ht="15.75" customHeight="1">
      <c r="E339" s="14"/>
    </row>
    <row r="340" spans="5:5" ht="15.75" customHeight="1">
      <c r="E340" s="14"/>
    </row>
    <row r="341" spans="5:5" ht="15.75" customHeight="1">
      <c r="E341" s="14"/>
    </row>
    <row r="342" spans="5:5" ht="15.75" customHeight="1">
      <c r="E342" s="14"/>
    </row>
    <row r="343" spans="5:5" ht="15.75" customHeight="1">
      <c r="E343" s="14"/>
    </row>
    <row r="344" spans="5:5" ht="15.75" customHeight="1">
      <c r="E344" s="14"/>
    </row>
    <row r="345" spans="5:5" ht="15.75" customHeight="1">
      <c r="E345" s="14"/>
    </row>
    <row r="346" spans="5:5" ht="15.75" customHeight="1">
      <c r="E346" s="14"/>
    </row>
    <row r="347" spans="5:5" ht="15.75" customHeight="1">
      <c r="E347" s="14"/>
    </row>
    <row r="348" spans="5:5" ht="15.75" customHeight="1">
      <c r="E348" s="14"/>
    </row>
    <row r="349" spans="5:5" ht="15.75" customHeight="1">
      <c r="E349" s="14"/>
    </row>
    <row r="350" spans="5:5" ht="15.75" customHeight="1">
      <c r="E350" s="14"/>
    </row>
    <row r="351" spans="5:5" ht="15.75" customHeight="1">
      <c r="E351" s="14"/>
    </row>
    <row r="352" spans="5:5" ht="15.75" customHeight="1">
      <c r="E352" s="14"/>
    </row>
    <row r="353" spans="5:5" ht="15.75" customHeight="1">
      <c r="E353" s="14"/>
    </row>
    <row r="354" spans="5:5" ht="15.75" customHeight="1">
      <c r="E354" s="14"/>
    </row>
    <row r="355" spans="5:5" ht="15.75" customHeight="1">
      <c r="E355" s="14"/>
    </row>
    <row r="356" spans="5:5" ht="15.75" customHeight="1">
      <c r="E356" s="14"/>
    </row>
    <row r="357" spans="5:5" ht="15.75" customHeight="1">
      <c r="E357" s="14"/>
    </row>
    <row r="358" spans="5:5" ht="15.75" customHeight="1">
      <c r="E358" s="14"/>
    </row>
    <row r="359" spans="5:5" ht="15.75" customHeight="1">
      <c r="E359" s="14"/>
    </row>
    <row r="360" spans="5:5" ht="15.75" customHeight="1">
      <c r="E360" s="14"/>
    </row>
    <row r="361" spans="5:5" ht="15.75" customHeight="1">
      <c r="E361" s="14"/>
    </row>
    <row r="362" spans="5:5" ht="15.75" customHeight="1">
      <c r="E362" s="14"/>
    </row>
    <row r="363" spans="5:5" ht="15.75" customHeight="1">
      <c r="E363" s="14"/>
    </row>
    <row r="364" spans="5:5" ht="15.75" customHeight="1">
      <c r="E364" s="14"/>
    </row>
    <row r="365" spans="5:5" ht="15.75" customHeight="1">
      <c r="E365" s="14"/>
    </row>
    <row r="366" spans="5:5" ht="15.75" customHeight="1">
      <c r="E366" s="14"/>
    </row>
    <row r="367" spans="5:5" ht="15.75" customHeight="1">
      <c r="E367" s="14"/>
    </row>
    <row r="368" spans="5:5" ht="15.75" customHeight="1">
      <c r="E368" s="14"/>
    </row>
    <row r="369" spans="5:5" ht="15.75" customHeight="1">
      <c r="E369" s="14"/>
    </row>
    <row r="370" spans="5:5" ht="15.75" customHeight="1">
      <c r="E370" s="14"/>
    </row>
    <row r="371" spans="5:5" ht="15.75" customHeight="1">
      <c r="E371" s="14"/>
    </row>
    <row r="372" spans="5:5" ht="15.75" customHeight="1">
      <c r="E372" s="14"/>
    </row>
    <row r="373" spans="5:5" ht="15.75" customHeight="1">
      <c r="E373" s="14"/>
    </row>
    <row r="374" spans="5:5" ht="15.75" customHeight="1">
      <c r="E374" s="14"/>
    </row>
    <row r="375" spans="5:5" ht="15.75" customHeight="1">
      <c r="E375" s="14"/>
    </row>
    <row r="376" spans="5:5" ht="15.75" customHeight="1">
      <c r="E376" s="14"/>
    </row>
    <row r="377" spans="5:5" ht="15.75" customHeight="1">
      <c r="E377" s="14"/>
    </row>
    <row r="378" spans="5:5" ht="15.75" customHeight="1">
      <c r="E378" s="14"/>
    </row>
    <row r="379" spans="5:5" ht="15.75" customHeight="1">
      <c r="E379" s="14"/>
    </row>
    <row r="380" spans="5:5" ht="15.75" customHeight="1">
      <c r="E380" s="14"/>
    </row>
    <row r="381" spans="5:5" ht="15.75" customHeight="1">
      <c r="E381" s="14"/>
    </row>
    <row r="382" spans="5:5" ht="15.75" customHeight="1">
      <c r="E382" s="14"/>
    </row>
    <row r="383" spans="5:5" ht="15.75" customHeight="1">
      <c r="E383" s="14"/>
    </row>
    <row r="384" spans="5:5" ht="15.75" customHeight="1">
      <c r="E384" s="14"/>
    </row>
    <row r="385" spans="5:5" ht="15.75" customHeight="1">
      <c r="E385" s="14"/>
    </row>
    <row r="386" spans="5:5" ht="15.75" customHeight="1">
      <c r="E386" s="14"/>
    </row>
    <row r="387" spans="5:5" ht="15.75" customHeight="1">
      <c r="E387" s="14"/>
    </row>
    <row r="388" spans="5:5" ht="15.75" customHeight="1">
      <c r="E388" s="14"/>
    </row>
    <row r="389" spans="5:5" ht="15.75" customHeight="1">
      <c r="E389" s="14"/>
    </row>
    <row r="390" spans="5:5" ht="15.75" customHeight="1">
      <c r="E390" s="14"/>
    </row>
    <row r="391" spans="5:5" ht="15.75" customHeight="1">
      <c r="E391" s="14"/>
    </row>
    <row r="392" spans="5:5" ht="15.75" customHeight="1">
      <c r="E392" s="14"/>
    </row>
    <row r="393" spans="5:5" ht="15.75" customHeight="1">
      <c r="E393" s="14"/>
    </row>
    <row r="394" spans="5:5" ht="15.75" customHeight="1">
      <c r="E394" s="14"/>
    </row>
    <row r="395" spans="5:5" ht="15.75" customHeight="1">
      <c r="E395" s="14"/>
    </row>
    <row r="396" spans="5:5" ht="15.75" customHeight="1">
      <c r="E396" s="14"/>
    </row>
    <row r="397" spans="5:5" ht="15.75" customHeight="1">
      <c r="E397" s="14"/>
    </row>
    <row r="398" spans="5:5" ht="15.75" customHeight="1">
      <c r="E398" s="14"/>
    </row>
    <row r="399" spans="5:5" ht="15.75" customHeight="1">
      <c r="E399" s="14"/>
    </row>
    <row r="400" spans="5:5" ht="15.75" customHeight="1">
      <c r="E400" s="14"/>
    </row>
    <row r="401" spans="5:5" ht="15.75" customHeight="1">
      <c r="E401" s="14"/>
    </row>
    <row r="402" spans="5:5" ht="15.75" customHeight="1">
      <c r="E402" s="14"/>
    </row>
    <row r="403" spans="5:5" ht="15.75" customHeight="1">
      <c r="E403" s="14"/>
    </row>
    <row r="404" spans="5:5" ht="15.75" customHeight="1">
      <c r="E404" s="14"/>
    </row>
    <row r="405" spans="5:5" ht="15.75" customHeight="1">
      <c r="E405" s="14"/>
    </row>
    <row r="406" spans="5:5" ht="15.75" customHeight="1">
      <c r="E406" s="14"/>
    </row>
    <row r="407" spans="5:5" ht="15.75" customHeight="1">
      <c r="E407" s="14"/>
    </row>
    <row r="408" spans="5:5" ht="15.75" customHeight="1">
      <c r="E408" s="14"/>
    </row>
    <row r="409" spans="5:5" ht="15.75" customHeight="1">
      <c r="E409" s="14"/>
    </row>
    <row r="410" spans="5:5" ht="15.75" customHeight="1">
      <c r="E410" s="14"/>
    </row>
    <row r="411" spans="5:5" ht="15.75" customHeight="1">
      <c r="E411" s="14"/>
    </row>
    <row r="412" spans="5:5" ht="15.75" customHeight="1">
      <c r="E412" s="14"/>
    </row>
    <row r="413" spans="5:5" ht="15.75" customHeight="1">
      <c r="E413" s="14"/>
    </row>
    <row r="414" spans="5:5" ht="15.75" customHeight="1">
      <c r="E414" s="14"/>
    </row>
    <row r="415" spans="5:5" ht="15.75" customHeight="1">
      <c r="E415" s="14"/>
    </row>
    <row r="416" spans="5:5" ht="15.75" customHeight="1">
      <c r="E416" s="14"/>
    </row>
    <row r="417" spans="5:5" ht="15.75" customHeight="1">
      <c r="E417" s="14"/>
    </row>
    <row r="418" spans="5:5" ht="15.75" customHeight="1">
      <c r="E418" s="14"/>
    </row>
    <row r="419" spans="5:5" ht="15.75" customHeight="1">
      <c r="E419" s="14"/>
    </row>
    <row r="420" spans="5:5" ht="15.75" customHeight="1">
      <c r="E420" s="14"/>
    </row>
    <row r="421" spans="5:5" ht="15.75" customHeight="1">
      <c r="E421" s="14"/>
    </row>
    <row r="422" spans="5:5" ht="15.75" customHeight="1">
      <c r="E422" s="14"/>
    </row>
    <row r="423" spans="5:5" ht="15.75" customHeight="1">
      <c r="E423" s="14"/>
    </row>
    <row r="424" spans="5:5" ht="15.75" customHeight="1">
      <c r="E424" s="14"/>
    </row>
    <row r="425" spans="5:5" ht="15.75" customHeight="1">
      <c r="E425" s="14"/>
    </row>
    <row r="426" spans="5:5" ht="15.75" customHeight="1">
      <c r="E426" s="14"/>
    </row>
    <row r="427" spans="5:5" ht="15.75" customHeight="1">
      <c r="E427" s="14"/>
    </row>
    <row r="428" spans="5:5" ht="15.75" customHeight="1">
      <c r="E428" s="14"/>
    </row>
    <row r="429" spans="5:5" ht="15.75" customHeight="1">
      <c r="E429" s="14"/>
    </row>
    <row r="430" spans="5:5" ht="15.75" customHeight="1">
      <c r="E430" s="14"/>
    </row>
    <row r="431" spans="5:5" ht="15.75" customHeight="1">
      <c r="E431" s="14"/>
    </row>
    <row r="432" spans="5:5" ht="15.75" customHeight="1">
      <c r="E432" s="14"/>
    </row>
    <row r="433" spans="5:5" ht="15.75" customHeight="1">
      <c r="E433" s="14"/>
    </row>
    <row r="434" spans="5:5" ht="15.75" customHeight="1">
      <c r="E434" s="14"/>
    </row>
    <row r="435" spans="5:5" ht="15.75" customHeight="1">
      <c r="E435" s="14"/>
    </row>
    <row r="436" spans="5:5" ht="15.75" customHeight="1">
      <c r="E436" s="14"/>
    </row>
    <row r="437" spans="5:5" ht="15.75" customHeight="1">
      <c r="E437" s="14"/>
    </row>
    <row r="438" spans="5:5" ht="15.75" customHeight="1">
      <c r="E438" s="14"/>
    </row>
    <row r="439" spans="5:5" ht="15.75" customHeight="1">
      <c r="E439" s="14"/>
    </row>
    <row r="440" spans="5:5" ht="15.75" customHeight="1">
      <c r="E440" s="14"/>
    </row>
    <row r="441" spans="5:5" ht="15.75" customHeight="1">
      <c r="E441" s="14"/>
    </row>
    <row r="442" spans="5:5" ht="15.75" customHeight="1">
      <c r="E442" s="14"/>
    </row>
    <row r="443" spans="5:5" ht="15.75" customHeight="1">
      <c r="E443" s="14"/>
    </row>
    <row r="444" spans="5:5" ht="15.75" customHeight="1">
      <c r="E444" s="14"/>
    </row>
    <row r="445" spans="5:5" ht="15.75" customHeight="1">
      <c r="E445" s="14"/>
    </row>
    <row r="446" spans="5:5" ht="15.75" customHeight="1">
      <c r="E446" s="14"/>
    </row>
    <row r="447" spans="5:5" ht="15.75" customHeight="1">
      <c r="E447" s="14"/>
    </row>
    <row r="448" spans="5:5" ht="15.75" customHeight="1">
      <c r="E448" s="14"/>
    </row>
    <row r="449" spans="5:5" ht="15.75" customHeight="1">
      <c r="E449" s="14"/>
    </row>
    <row r="450" spans="5:5" ht="15.75" customHeight="1">
      <c r="E450" s="14"/>
    </row>
    <row r="451" spans="5:5" ht="15.75" customHeight="1">
      <c r="E451" s="14"/>
    </row>
    <row r="452" spans="5:5" ht="15.75" customHeight="1">
      <c r="E452" s="14"/>
    </row>
    <row r="453" spans="5:5" ht="15.75" customHeight="1">
      <c r="E453" s="14"/>
    </row>
    <row r="454" spans="5:5" ht="15.75" customHeight="1">
      <c r="E454" s="14"/>
    </row>
    <row r="455" spans="5:5" ht="15.75" customHeight="1">
      <c r="E455" s="14"/>
    </row>
    <row r="456" spans="5:5" ht="15.75" customHeight="1">
      <c r="E456" s="14"/>
    </row>
    <row r="457" spans="5:5" ht="15.75" customHeight="1">
      <c r="E457" s="14"/>
    </row>
    <row r="458" spans="5:5" ht="15.75" customHeight="1">
      <c r="E458" s="14"/>
    </row>
    <row r="459" spans="5:5" ht="15.75" customHeight="1">
      <c r="E459" s="14"/>
    </row>
    <row r="460" spans="5:5" ht="15.75" customHeight="1">
      <c r="E460" s="14"/>
    </row>
    <row r="461" spans="5:5" ht="15.75" customHeight="1">
      <c r="E461" s="14"/>
    </row>
    <row r="462" spans="5:5" ht="15.75" customHeight="1">
      <c r="E462" s="14"/>
    </row>
    <row r="463" spans="5:5" ht="15.75" customHeight="1">
      <c r="E463" s="14"/>
    </row>
    <row r="464" spans="5:5" ht="15.75" customHeight="1">
      <c r="E464" s="14"/>
    </row>
    <row r="465" spans="5:5" ht="15.75" customHeight="1">
      <c r="E465" s="14"/>
    </row>
    <row r="466" spans="5:5" ht="15.75" customHeight="1">
      <c r="E466" s="14"/>
    </row>
    <row r="467" spans="5:5" ht="15.75" customHeight="1">
      <c r="E467" s="14"/>
    </row>
    <row r="468" spans="5:5" ht="15.75" customHeight="1">
      <c r="E468" s="14"/>
    </row>
    <row r="469" spans="5:5" ht="15.75" customHeight="1">
      <c r="E469" s="14"/>
    </row>
    <row r="470" spans="5:5" ht="15.75" customHeight="1">
      <c r="E470" s="14"/>
    </row>
    <row r="471" spans="5:5" ht="15.75" customHeight="1">
      <c r="E471" s="14"/>
    </row>
    <row r="472" spans="5:5" ht="15.75" customHeight="1">
      <c r="E472" s="14"/>
    </row>
    <row r="473" spans="5:5" ht="15.75" customHeight="1">
      <c r="E473" s="14"/>
    </row>
    <row r="474" spans="5:5" ht="15.75" customHeight="1">
      <c r="E474" s="14"/>
    </row>
    <row r="475" spans="5:5" ht="15.75" customHeight="1">
      <c r="E475" s="14"/>
    </row>
    <row r="476" spans="5:5" ht="15.75" customHeight="1">
      <c r="E476" s="14"/>
    </row>
    <row r="477" spans="5:5" ht="15.75" customHeight="1">
      <c r="E477" s="14"/>
    </row>
    <row r="478" spans="5:5" ht="15.75" customHeight="1">
      <c r="E478" s="14"/>
    </row>
    <row r="479" spans="5:5" ht="15.75" customHeight="1">
      <c r="E479" s="14"/>
    </row>
    <row r="480" spans="5:5" ht="15.75" customHeight="1">
      <c r="E480" s="14"/>
    </row>
    <row r="481" spans="5:5" ht="15.75" customHeight="1">
      <c r="E481" s="14"/>
    </row>
    <row r="482" spans="5:5" ht="15.75" customHeight="1">
      <c r="E482" s="14"/>
    </row>
    <row r="483" spans="5:5" ht="15.75" customHeight="1">
      <c r="E483" s="14"/>
    </row>
    <row r="484" spans="5:5" ht="15.75" customHeight="1">
      <c r="E484" s="14"/>
    </row>
    <row r="485" spans="5:5" ht="15.75" customHeight="1">
      <c r="E485" s="14"/>
    </row>
    <row r="486" spans="5:5" ht="15.75" customHeight="1">
      <c r="E486" s="14"/>
    </row>
    <row r="487" spans="5:5" ht="15.75" customHeight="1">
      <c r="E487" s="14"/>
    </row>
    <row r="488" spans="5:5" ht="15.75" customHeight="1">
      <c r="E488" s="14"/>
    </row>
    <row r="489" spans="5:5" ht="15.75" customHeight="1">
      <c r="E489" s="14"/>
    </row>
    <row r="490" spans="5:5" ht="15.75" customHeight="1">
      <c r="E490" s="14"/>
    </row>
    <row r="491" spans="5:5" ht="15.75" customHeight="1">
      <c r="E491" s="14"/>
    </row>
    <row r="492" spans="5:5" ht="15.75" customHeight="1">
      <c r="E492" s="14"/>
    </row>
    <row r="493" spans="5:5" ht="15.75" customHeight="1">
      <c r="E493" s="14"/>
    </row>
    <row r="494" spans="5:5" ht="15.75" customHeight="1">
      <c r="E494" s="14"/>
    </row>
    <row r="495" spans="5:5" ht="15.75" customHeight="1">
      <c r="E495" s="14"/>
    </row>
    <row r="496" spans="5:5" ht="15.75" customHeight="1">
      <c r="E496" s="14"/>
    </row>
    <row r="497" spans="5:5" ht="15.75" customHeight="1">
      <c r="E497" s="14"/>
    </row>
    <row r="498" spans="5:5" ht="15.75" customHeight="1">
      <c r="E498" s="14"/>
    </row>
    <row r="499" spans="5:5" ht="15.75" customHeight="1">
      <c r="E499" s="14"/>
    </row>
    <row r="500" spans="5:5" ht="15.75" customHeight="1">
      <c r="E500" s="14"/>
    </row>
    <row r="501" spans="5:5" ht="15.75" customHeight="1">
      <c r="E501" s="14"/>
    </row>
    <row r="502" spans="5:5" ht="15.75" customHeight="1">
      <c r="E502" s="14"/>
    </row>
    <row r="503" spans="5:5" ht="15.75" customHeight="1">
      <c r="E503" s="14"/>
    </row>
    <row r="504" spans="5:5" ht="15.75" customHeight="1">
      <c r="E504" s="14"/>
    </row>
    <row r="505" spans="5:5" ht="15.75" customHeight="1">
      <c r="E505" s="14"/>
    </row>
    <row r="506" spans="5:5" ht="15.75" customHeight="1">
      <c r="E506" s="14"/>
    </row>
    <row r="507" spans="5:5" ht="15.75" customHeight="1">
      <c r="E507" s="14"/>
    </row>
    <row r="508" spans="5:5" ht="15.75" customHeight="1">
      <c r="E508" s="14"/>
    </row>
    <row r="509" spans="5:5" ht="15.75" customHeight="1">
      <c r="E509" s="14"/>
    </row>
    <row r="510" spans="5:5" ht="15.75" customHeight="1">
      <c r="E510" s="14"/>
    </row>
    <row r="511" spans="5:5" ht="15.75" customHeight="1">
      <c r="E511" s="14"/>
    </row>
    <row r="512" spans="5:5" ht="15.75" customHeight="1">
      <c r="E512" s="14"/>
    </row>
    <row r="513" spans="5:5" ht="15.75" customHeight="1">
      <c r="E513" s="14"/>
    </row>
    <row r="514" spans="5:5" ht="15.75" customHeight="1">
      <c r="E514" s="14"/>
    </row>
    <row r="515" spans="5:5" ht="15.75" customHeight="1">
      <c r="E515" s="14"/>
    </row>
    <row r="516" spans="5:5" ht="15.75" customHeight="1">
      <c r="E516" s="14"/>
    </row>
    <row r="517" spans="5:5" ht="15.75" customHeight="1">
      <c r="E517" s="14"/>
    </row>
    <row r="518" spans="5:5" ht="15.75" customHeight="1">
      <c r="E518" s="14"/>
    </row>
    <row r="519" spans="5:5" ht="15.75" customHeight="1">
      <c r="E519" s="14"/>
    </row>
    <row r="520" spans="5:5" ht="15.75" customHeight="1">
      <c r="E520" s="14"/>
    </row>
    <row r="521" spans="5:5" ht="15.75" customHeight="1">
      <c r="E521" s="14"/>
    </row>
    <row r="522" spans="5:5" ht="15.75" customHeight="1">
      <c r="E522" s="14"/>
    </row>
    <row r="523" spans="5:5" ht="15.75" customHeight="1">
      <c r="E523" s="14"/>
    </row>
    <row r="524" spans="5:5" ht="15.75" customHeight="1">
      <c r="E524" s="14"/>
    </row>
    <row r="525" spans="5:5" ht="15.75" customHeight="1">
      <c r="E525" s="14"/>
    </row>
    <row r="526" spans="5:5" ht="15.75" customHeight="1">
      <c r="E526" s="14"/>
    </row>
    <row r="527" spans="5:5" ht="15.75" customHeight="1">
      <c r="E527" s="14"/>
    </row>
    <row r="528" spans="5:5" ht="15.75" customHeight="1">
      <c r="E528" s="14"/>
    </row>
    <row r="529" spans="5:5" ht="15.75" customHeight="1">
      <c r="E529" s="14"/>
    </row>
    <row r="530" spans="5:5" ht="15.75" customHeight="1">
      <c r="E530" s="14"/>
    </row>
    <row r="531" spans="5:5" ht="15.75" customHeight="1">
      <c r="E531" s="14"/>
    </row>
    <row r="532" spans="5:5" ht="15.75" customHeight="1">
      <c r="E532" s="14"/>
    </row>
    <row r="533" spans="5:5" ht="15.75" customHeight="1">
      <c r="E533" s="14"/>
    </row>
    <row r="534" spans="5:5" ht="15.75" customHeight="1">
      <c r="E534" s="14"/>
    </row>
    <row r="535" spans="5:5" ht="15.75" customHeight="1">
      <c r="E535" s="14"/>
    </row>
    <row r="536" spans="5:5" ht="15.75" customHeight="1">
      <c r="E536" s="14"/>
    </row>
    <row r="537" spans="5:5" ht="15.75" customHeight="1">
      <c r="E537" s="14"/>
    </row>
    <row r="538" spans="5:5" ht="15.75" customHeight="1">
      <c r="E538" s="14"/>
    </row>
    <row r="539" spans="5:5" ht="15.75" customHeight="1">
      <c r="E539" s="14"/>
    </row>
    <row r="540" spans="5:5" ht="15.75" customHeight="1">
      <c r="E540" s="14"/>
    </row>
    <row r="541" spans="5:5" ht="15.75" customHeight="1">
      <c r="E541" s="14"/>
    </row>
    <row r="542" spans="5:5" ht="15.75" customHeight="1">
      <c r="E542" s="14"/>
    </row>
    <row r="543" spans="5:5" ht="15.75" customHeight="1">
      <c r="E543" s="14"/>
    </row>
    <row r="544" spans="5:5" ht="15.75" customHeight="1">
      <c r="E544" s="14"/>
    </row>
    <row r="545" spans="5:5" ht="15.75" customHeight="1">
      <c r="E545" s="14"/>
    </row>
    <row r="546" spans="5:5" ht="15.75" customHeight="1">
      <c r="E546" s="14"/>
    </row>
    <row r="547" spans="5:5" ht="15.75" customHeight="1">
      <c r="E547" s="14"/>
    </row>
    <row r="548" spans="5:5" ht="15.75" customHeight="1">
      <c r="E548" s="14"/>
    </row>
    <row r="549" spans="5:5" ht="15.75" customHeight="1">
      <c r="E549" s="14"/>
    </row>
    <row r="550" spans="5:5" ht="15.75" customHeight="1">
      <c r="E550" s="14"/>
    </row>
    <row r="551" spans="5:5" ht="15.75" customHeight="1">
      <c r="E551" s="14"/>
    </row>
    <row r="552" spans="5:5" ht="15.75" customHeight="1">
      <c r="E552" s="14"/>
    </row>
    <row r="553" spans="5:5" ht="15.75" customHeight="1">
      <c r="E553" s="14"/>
    </row>
    <row r="554" spans="5:5" ht="15.75" customHeight="1">
      <c r="E554" s="14"/>
    </row>
    <row r="555" spans="5:5" ht="15.75" customHeight="1">
      <c r="E555" s="14"/>
    </row>
    <row r="556" spans="5:5" ht="15.75" customHeight="1">
      <c r="E556" s="14"/>
    </row>
    <row r="557" spans="5:5" ht="15.75" customHeight="1">
      <c r="E557" s="14"/>
    </row>
    <row r="558" spans="5:5" ht="15.75" customHeight="1">
      <c r="E558" s="14"/>
    </row>
    <row r="559" spans="5:5" ht="15.75" customHeight="1">
      <c r="E559" s="14"/>
    </row>
    <row r="560" spans="5:5" ht="15.75" customHeight="1">
      <c r="E560" s="14"/>
    </row>
    <row r="561" spans="5:5" ht="15.75" customHeight="1">
      <c r="E561" s="14"/>
    </row>
    <row r="562" spans="5:5" ht="15.75" customHeight="1">
      <c r="E562" s="14"/>
    </row>
    <row r="563" spans="5:5" ht="15.75" customHeight="1">
      <c r="E563" s="14"/>
    </row>
    <row r="564" spans="5:5" ht="15.75" customHeight="1">
      <c r="E564" s="14"/>
    </row>
    <row r="565" spans="5:5" ht="15.75" customHeight="1">
      <c r="E565" s="14"/>
    </row>
    <row r="566" spans="5:5" ht="15.75" customHeight="1">
      <c r="E566" s="14"/>
    </row>
    <row r="567" spans="5:5" ht="15.75" customHeight="1">
      <c r="E567" s="14"/>
    </row>
    <row r="568" spans="5:5" ht="15.75" customHeight="1">
      <c r="E568" s="14"/>
    </row>
    <row r="569" spans="5:5" ht="15.75" customHeight="1">
      <c r="E569" s="14"/>
    </row>
    <row r="570" spans="5:5" ht="15.75" customHeight="1">
      <c r="E570" s="14"/>
    </row>
    <row r="571" spans="5:5" ht="15.75" customHeight="1">
      <c r="E571" s="14"/>
    </row>
    <row r="572" spans="5:5" ht="15.75" customHeight="1">
      <c r="E572" s="14"/>
    </row>
    <row r="573" spans="5:5" ht="15.75" customHeight="1">
      <c r="E573" s="14"/>
    </row>
    <row r="574" spans="5:5" ht="15.75" customHeight="1">
      <c r="E574" s="14"/>
    </row>
    <row r="575" spans="5:5" ht="15.75" customHeight="1">
      <c r="E575" s="14"/>
    </row>
    <row r="576" spans="5:5" ht="15.75" customHeight="1">
      <c r="E576" s="14"/>
    </row>
    <row r="577" spans="5:5" ht="15.75" customHeight="1">
      <c r="E577" s="14"/>
    </row>
    <row r="578" spans="5:5" ht="15.75" customHeight="1">
      <c r="E578" s="14"/>
    </row>
    <row r="579" spans="5:5" ht="15.75" customHeight="1">
      <c r="E579" s="14"/>
    </row>
    <row r="580" spans="5:5" ht="15.75" customHeight="1">
      <c r="E580" s="14"/>
    </row>
    <row r="581" spans="5:5" ht="15.75" customHeight="1">
      <c r="E581" s="14"/>
    </row>
    <row r="582" spans="5:5" ht="15.75" customHeight="1">
      <c r="E582" s="14"/>
    </row>
    <row r="583" spans="5:5" ht="15.75" customHeight="1">
      <c r="E583" s="14"/>
    </row>
    <row r="584" spans="5:5" ht="15.75" customHeight="1">
      <c r="E584" s="14"/>
    </row>
    <row r="585" spans="5:5" ht="15.75" customHeight="1">
      <c r="E585" s="14"/>
    </row>
    <row r="586" spans="5:5" ht="15.75" customHeight="1">
      <c r="E586" s="14"/>
    </row>
    <row r="587" spans="5:5" ht="15.75" customHeight="1">
      <c r="E587" s="14"/>
    </row>
    <row r="588" spans="5:5" ht="15.75" customHeight="1">
      <c r="E588" s="14"/>
    </row>
    <row r="589" spans="5:5" ht="15.75" customHeight="1">
      <c r="E589" s="14"/>
    </row>
    <row r="590" spans="5:5" ht="15.75" customHeight="1">
      <c r="E590" s="14"/>
    </row>
    <row r="591" spans="5:5" ht="15.75" customHeight="1">
      <c r="E591" s="14"/>
    </row>
    <row r="592" spans="5:5" ht="15.75" customHeight="1">
      <c r="E592" s="14"/>
    </row>
    <row r="593" spans="5:5" ht="15.75" customHeight="1">
      <c r="E593" s="14"/>
    </row>
    <row r="594" spans="5:5" ht="15.75" customHeight="1">
      <c r="E594" s="14"/>
    </row>
    <row r="595" spans="5:5" ht="15.75" customHeight="1">
      <c r="E595" s="14"/>
    </row>
    <row r="596" spans="5:5" ht="15.75" customHeight="1">
      <c r="E596" s="14"/>
    </row>
    <row r="597" spans="5:5" ht="15.75" customHeight="1">
      <c r="E597" s="14"/>
    </row>
    <row r="598" spans="5:5" ht="15.75" customHeight="1">
      <c r="E598" s="14"/>
    </row>
    <row r="599" spans="5:5" ht="15.75" customHeight="1">
      <c r="E599" s="14"/>
    </row>
    <row r="600" spans="5:5" ht="15.75" customHeight="1">
      <c r="E600" s="14"/>
    </row>
    <row r="601" spans="5:5" ht="15.75" customHeight="1">
      <c r="E601" s="14"/>
    </row>
    <row r="602" spans="5:5" ht="15.75" customHeight="1">
      <c r="E602" s="14"/>
    </row>
    <row r="603" spans="5:5" ht="15.75" customHeight="1">
      <c r="E603" s="14"/>
    </row>
    <row r="604" spans="5:5" ht="15.75" customHeight="1">
      <c r="E604" s="14"/>
    </row>
    <row r="605" spans="5:5" ht="15.75" customHeight="1">
      <c r="E605" s="14"/>
    </row>
    <row r="606" spans="5:5" ht="15.75" customHeight="1">
      <c r="E606" s="14"/>
    </row>
    <row r="607" spans="5:5" ht="15.75" customHeight="1">
      <c r="E607" s="14"/>
    </row>
    <row r="608" spans="5:5" ht="15.75" customHeight="1">
      <c r="E608" s="14"/>
    </row>
    <row r="609" spans="5:5" ht="15.75" customHeight="1">
      <c r="E609" s="14"/>
    </row>
    <row r="610" spans="5:5" ht="15.75" customHeight="1">
      <c r="E610" s="14"/>
    </row>
    <row r="611" spans="5:5" ht="15.75" customHeight="1">
      <c r="E611" s="14"/>
    </row>
    <row r="612" spans="5:5" ht="15.75" customHeight="1">
      <c r="E612" s="14"/>
    </row>
    <row r="613" spans="5:5" ht="15.75" customHeight="1">
      <c r="E613" s="14"/>
    </row>
    <row r="614" spans="5:5" ht="15.75" customHeight="1">
      <c r="E614" s="14"/>
    </row>
    <row r="615" spans="5:5" ht="15.75" customHeight="1">
      <c r="E615" s="14"/>
    </row>
    <row r="616" spans="5:5" ht="15.75" customHeight="1">
      <c r="E616" s="14"/>
    </row>
    <row r="617" spans="5:5" ht="15.75" customHeight="1">
      <c r="E617" s="14"/>
    </row>
    <row r="618" spans="5:5" ht="15.75" customHeight="1">
      <c r="E618" s="14"/>
    </row>
    <row r="619" spans="5:5" ht="15.75" customHeight="1">
      <c r="E619" s="14"/>
    </row>
    <row r="620" spans="5:5" ht="15.75" customHeight="1">
      <c r="E620" s="14"/>
    </row>
    <row r="621" spans="5:5" ht="15.75" customHeight="1">
      <c r="E621" s="14"/>
    </row>
    <row r="622" spans="5:5" ht="15.75" customHeight="1">
      <c r="E622" s="14"/>
    </row>
    <row r="623" spans="5:5" ht="15.75" customHeight="1">
      <c r="E623" s="14"/>
    </row>
    <row r="624" spans="5:5" ht="15.75" customHeight="1">
      <c r="E624" s="14"/>
    </row>
    <row r="625" spans="5:5" ht="15.75" customHeight="1">
      <c r="E625" s="14"/>
    </row>
    <row r="626" spans="5:5" ht="15.75" customHeight="1">
      <c r="E626" s="14"/>
    </row>
    <row r="627" spans="5:5" ht="15.75" customHeight="1">
      <c r="E627" s="14"/>
    </row>
    <row r="628" spans="5:5" ht="15.75" customHeight="1">
      <c r="E628" s="14"/>
    </row>
    <row r="629" spans="5:5" ht="15.75" customHeight="1">
      <c r="E629" s="14"/>
    </row>
    <row r="630" spans="5:5" ht="15.75" customHeight="1">
      <c r="E630" s="14"/>
    </row>
    <row r="631" spans="5:5" ht="15.75" customHeight="1">
      <c r="E631" s="14"/>
    </row>
    <row r="632" spans="5:5" ht="15.75" customHeight="1">
      <c r="E632" s="14"/>
    </row>
    <row r="633" spans="5:5" ht="15.75" customHeight="1">
      <c r="E633" s="14"/>
    </row>
    <row r="634" spans="5:5" ht="15.75" customHeight="1">
      <c r="E634" s="14"/>
    </row>
    <row r="635" spans="5:5" ht="15.75" customHeight="1">
      <c r="E635" s="14"/>
    </row>
    <row r="636" spans="5:5" ht="15.75" customHeight="1">
      <c r="E636" s="14"/>
    </row>
    <row r="637" spans="5:5" ht="15.75" customHeight="1">
      <c r="E637" s="14"/>
    </row>
    <row r="638" spans="5:5" ht="15.75" customHeight="1">
      <c r="E638" s="14"/>
    </row>
    <row r="639" spans="5:5" ht="15.75" customHeight="1">
      <c r="E639" s="14"/>
    </row>
    <row r="640" spans="5:5" ht="15.75" customHeight="1">
      <c r="E640" s="14"/>
    </row>
    <row r="641" spans="5:5" ht="15.75" customHeight="1">
      <c r="E641" s="14"/>
    </row>
    <row r="642" spans="5:5" ht="15.75" customHeight="1">
      <c r="E642" s="14"/>
    </row>
    <row r="643" spans="5:5" ht="15.75" customHeight="1">
      <c r="E643" s="14"/>
    </row>
    <row r="644" spans="5:5" ht="15.75" customHeight="1">
      <c r="E644" s="14"/>
    </row>
    <row r="645" spans="5:5" ht="15.75" customHeight="1">
      <c r="E645" s="14"/>
    </row>
    <row r="646" spans="5:5" ht="15.75" customHeight="1">
      <c r="E646" s="14"/>
    </row>
    <row r="647" spans="5:5" ht="15.75" customHeight="1">
      <c r="E647" s="14"/>
    </row>
    <row r="648" spans="5:5" ht="15.75" customHeight="1">
      <c r="E648" s="14"/>
    </row>
    <row r="649" spans="5:5" ht="15.75" customHeight="1">
      <c r="E649" s="14"/>
    </row>
    <row r="650" spans="5:5" ht="15.75" customHeight="1">
      <c r="E650" s="14"/>
    </row>
    <row r="651" spans="5:5" ht="15.75" customHeight="1">
      <c r="E651" s="14"/>
    </row>
    <row r="652" spans="5:5" ht="15.75" customHeight="1">
      <c r="E652" s="14"/>
    </row>
    <row r="653" spans="5:5" ht="15.75" customHeight="1">
      <c r="E653" s="14"/>
    </row>
    <row r="654" spans="5:5" ht="15.75" customHeight="1">
      <c r="E654" s="14"/>
    </row>
    <row r="655" spans="5:5" ht="15.75" customHeight="1">
      <c r="E655" s="14"/>
    </row>
    <row r="656" spans="5:5" ht="15.75" customHeight="1">
      <c r="E656" s="14"/>
    </row>
    <row r="657" spans="5:5" ht="15.75" customHeight="1">
      <c r="E657" s="14"/>
    </row>
    <row r="658" spans="5:5" ht="15.75" customHeight="1">
      <c r="E658" s="14"/>
    </row>
    <row r="659" spans="5:5" ht="15.75" customHeight="1">
      <c r="E659" s="14"/>
    </row>
    <row r="660" spans="5:5" ht="15.75" customHeight="1">
      <c r="E660" s="14"/>
    </row>
    <row r="661" spans="5:5" ht="15.75" customHeight="1">
      <c r="E661" s="14"/>
    </row>
    <row r="662" spans="5:5" ht="15.75" customHeight="1">
      <c r="E662" s="14"/>
    </row>
    <row r="663" spans="5:5" ht="15.75" customHeight="1">
      <c r="E663" s="14"/>
    </row>
    <row r="664" spans="5:5" ht="15.75" customHeight="1">
      <c r="E664" s="14"/>
    </row>
    <row r="665" spans="5:5" ht="15.75" customHeight="1">
      <c r="E665" s="14"/>
    </row>
    <row r="666" spans="5:5" ht="15.75" customHeight="1">
      <c r="E666" s="14"/>
    </row>
    <row r="667" spans="5:5" ht="15.75" customHeight="1">
      <c r="E667" s="14"/>
    </row>
    <row r="668" spans="5:5" ht="15.75" customHeight="1">
      <c r="E668" s="14"/>
    </row>
    <row r="669" spans="5:5" ht="15.75" customHeight="1">
      <c r="E669" s="14"/>
    </row>
    <row r="670" spans="5:5" ht="15.75" customHeight="1">
      <c r="E670" s="14"/>
    </row>
    <row r="671" spans="5:5" ht="15.75" customHeight="1">
      <c r="E671" s="14"/>
    </row>
    <row r="672" spans="5:5" ht="15.75" customHeight="1">
      <c r="E672" s="14"/>
    </row>
    <row r="673" spans="5:5" ht="15.75" customHeight="1">
      <c r="E673" s="14"/>
    </row>
    <row r="674" spans="5:5" ht="15.75" customHeight="1">
      <c r="E674" s="14"/>
    </row>
    <row r="675" spans="5:5" ht="15.75" customHeight="1">
      <c r="E675" s="14"/>
    </row>
    <row r="676" spans="5:5" ht="15.75" customHeight="1">
      <c r="E676" s="14"/>
    </row>
    <row r="677" spans="5:5" ht="15.75" customHeight="1">
      <c r="E677" s="14"/>
    </row>
    <row r="678" spans="5:5" ht="15.75" customHeight="1">
      <c r="E678" s="14"/>
    </row>
    <row r="679" spans="5:5" ht="15.75" customHeight="1">
      <c r="E679" s="14"/>
    </row>
    <row r="680" spans="5:5" ht="15.75" customHeight="1">
      <c r="E680" s="14"/>
    </row>
    <row r="681" spans="5:5" ht="15.75" customHeight="1">
      <c r="E681" s="14"/>
    </row>
    <row r="682" spans="5:5" ht="15.75" customHeight="1">
      <c r="E682" s="14"/>
    </row>
    <row r="683" spans="5:5" ht="15.75" customHeight="1">
      <c r="E683" s="14"/>
    </row>
    <row r="684" spans="5:5" ht="15.75" customHeight="1">
      <c r="E684" s="14"/>
    </row>
    <row r="685" spans="5:5" ht="15.75" customHeight="1">
      <c r="E685" s="14"/>
    </row>
    <row r="686" spans="5:5" ht="15.75" customHeight="1">
      <c r="E686" s="14"/>
    </row>
    <row r="687" spans="5:5" ht="15.75" customHeight="1">
      <c r="E687" s="14"/>
    </row>
    <row r="688" spans="5:5" ht="15.75" customHeight="1">
      <c r="E688" s="14"/>
    </row>
    <row r="689" spans="5:5" ht="15.75" customHeight="1">
      <c r="E689" s="14"/>
    </row>
    <row r="690" spans="5:5" ht="15.75" customHeight="1">
      <c r="E690" s="14"/>
    </row>
    <row r="691" spans="5:5" ht="15.75" customHeight="1">
      <c r="E691" s="14"/>
    </row>
    <row r="692" spans="5:5" ht="15.75" customHeight="1">
      <c r="E692" s="14"/>
    </row>
    <row r="693" spans="5:5" ht="15.75" customHeight="1">
      <c r="E693" s="14"/>
    </row>
    <row r="694" spans="5:5" ht="15.75" customHeight="1">
      <c r="E694" s="14"/>
    </row>
    <row r="695" spans="5:5" ht="15.75" customHeight="1">
      <c r="E695" s="14"/>
    </row>
    <row r="696" spans="5:5" ht="15.75" customHeight="1">
      <c r="E696" s="14"/>
    </row>
    <row r="697" spans="5:5" ht="15.75" customHeight="1">
      <c r="E697" s="14"/>
    </row>
    <row r="698" spans="5:5" ht="15.75" customHeight="1">
      <c r="E698" s="14"/>
    </row>
    <row r="699" spans="5:5" ht="15.75" customHeight="1">
      <c r="E699" s="14"/>
    </row>
    <row r="700" spans="5:5" ht="15.75" customHeight="1">
      <c r="E700" s="14"/>
    </row>
    <row r="701" spans="5:5" ht="15.75" customHeight="1">
      <c r="E701" s="14"/>
    </row>
    <row r="702" spans="5:5" ht="15.75" customHeight="1">
      <c r="E702" s="14"/>
    </row>
    <row r="703" spans="5:5" ht="15.75" customHeight="1">
      <c r="E703" s="14"/>
    </row>
    <row r="704" spans="5:5" ht="15.75" customHeight="1">
      <c r="E704" s="14"/>
    </row>
    <row r="705" spans="5:5" ht="15.75" customHeight="1">
      <c r="E705" s="14"/>
    </row>
    <row r="706" spans="5:5" ht="15.75" customHeight="1">
      <c r="E706" s="14"/>
    </row>
    <row r="707" spans="5:5" ht="15.75" customHeight="1">
      <c r="E707" s="14"/>
    </row>
    <row r="708" spans="5:5" ht="15.75" customHeight="1">
      <c r="E708" s="14"/>
    </row>
    <row r="709" spans="5:5" ht="15.75" customHeight="1">
      <c r="E709" s="14"/>
    </row>
    <row r="710" spans="5:5" ht="15.75" customHeight="1">
      <c r="E710" s="14"/>
    </row>
    <row r="711" spans="5:5" ht="15.75" customHeight="1">
      <c r="E711" s="14"/>
    </row>
    <row r="712" spans="5:5" ht="15.75" customHeight="1">
      <c r="E712" s="14"/>
    </row>
    <row r="713" spans="5:5" ht="15.75" customHeight="1">
      <c r="E713" s="14"/>
    </row>
    <row r="714" spans="5:5" ht="15.75" customHeight="1">
      <c r="E714" s="14"/>
    </row>
    <row r="715" spans="5:5" ht="15.75" customHeight="1">
      <c r="E715" s="14"/>
    </row>
    <row r="716" spans="5:5" ht="15.75" customHeight="1">
      <c r="E716" s="14"/>
    </row>
    <row r="717" spans="5:5" ht="15.75" customHeight="1">
      <c r="E717" s="14"/>
    </row>
    <row r="718" spans="5:5" ht="15.75" customHeight="1">
      <c r="E718" s="14"/>
    </row>
    <row r="719" spans="5:5" ht="15.75" customHeight="1">
      <c r="E719" s="14"/>
    </row>
    <row r="720" spans="5:5" ht="15.75" customHeight="1">
      <c r="E720" s="14"/>
    </row>
    <row r="721" spans="5:5" ht="15.75" customHeight="1">
      <c r="E721" s="14"/>
    </row>
    <row r="722" spans="5:5" ht="15.75" customHeight="1">
      <c r="E722" s="14"/>
    </row>
    <row r="723" spans="5:5" ht="15.75" customHeight="1">
      <c r="E723" s="14"/>
    </row>
    <row r="724" spans="5:5" ht="15.75" customHeight="1">
      <c r="E724" s="14"/>
    </row>
    <row r="725" spans="5:5" ht="15.75" customHeight="1">
      <c r="E725" s="14"/>
    </row>
    <row r="726" spans="5:5" ht="15.75" customHeight="1">
      <c r="E726" s="14"/>
    </row>
    <row r="727" spans="5:5" ht="15.75" customHeight="1">
      <c r="E727" s="14"/>
    </row>
    <row r="728" spans="5:5" ht="15.75" customHeight="1">
      <c r="E728" s="14"/>
    </row>
    <row r="729" spans="5:5" ht="15.75" customHeight="1">
      <c r="E729" s="14"/>
    </row>
    <row r="730" spans="5:5" ht="15.75" customHeight="1">
      <c r="E730" s="14"/>
    </row>
    <row r="731" spans="5:5" ht="15.75" customHeight="1">
      <c r="E731" s="14"/>
    </row>
    <row r="732" spans="5:5" ht="15.75" customHeight="1">
      <c r="E732" s="14"/>
    </row>
    <row r="733" spans="5:5" ht="15.75" customHeight="1">
      <c r="E733" s="14"/>
    </row>
    <row r="734" spans="5:5" ht="15.75" customHeight="1">
      <c r="E734" s="14"/>
    </row>
    <row r="735" spans="5:5" ht="15.75" customHeight="1">
      <c r="E735" s="14"/>
    </row>
    <row r="736" spans="5:5" ht="15.75" customHeight="1">
      <c r="E736" s="14"/>
    </row>
    <row r="737" spans="5:5" ht="15.75" customHeight="1">
      <c r="E737" s="14"/>
    </row>
    <row r="738" spans="5:5" ht="15.75" customHeight="1">
      <c r="E738" s="14"/>
    </row>
    <row r="739" spans="5:5" ht="15.75" customHeight="1">
      <c r="E739" s="14"/>
    </row>
    <row r="740" spans="5:5" ht="15.75" customHeight="1">
      <c r="E740" s="14"/>
    </row>
    <row r="741" spans="5:5" ht="15.75" customHeight="1">
      <c r="E741" s="14"/>
    </row>
    <row r="742" spans="5:5" ht="15.75" customHeight="1">
      <c r="E742" s="14"/>
    </row>
    <row r="743" spans="5:5" ht="15.75" customHeight="1">
      <c r="E743" s="14"/>
    </row>
    <row r="744" spans="5:5" ht="15.75" customHeight="1">
      <c r="E744" s="14"/>
    </row>
    <row r="745" spans="5:5" ht="15.75" customHeight="1">
      <c r="E745" s="14"/>
    </row>
    <row r="746" spans="5:5" ht="15.75" customHeight="1">
      <c r="E746" s="14"/>
    </row>
    <row r="747" spans="5:5" ht="15.75" customHeight="1">
      <c r="E747" s="14"/>
    </row>
    <row r="748" spans="5:5" ht="15.75" customHeight="1">
      <c r="E748" s="14"/>
    </row>
    <row r="749" spans="5:5" ht="15.75" customHeight="1">
      <c r="E749" s="14"/>
    </row>
    <row r="750" spans="5:5" ht="15.75" customHeight="1">
      <c r="E750" s="14"/>
    </row>
    <row r="751" spans="5:5" ht="15.75" customHeight="1">
      <c r="E751" s="14"/>
    </row>
    <row r="752" spans="5:5" ht="15.75" customHeight="1">
      <c r="E752" s="14"/>
    </row>
    <row r="753" spans="5:5" ht="15.75" customHeight="1">
      <c r="E753" s="14"/>
    </row>
    <row r="754" spans="5:5" ht="15.75" customHeight="1">
      <c r="E754" s="14"/>
    </row>
    <row r="755" spans="5:5" ht="15.75" customHeight="1">
      <c r="E755" s="14"/>
    </row>
    <row r="756" spans="5:5" ht="15.75" customHeight="1">
      <c r="E756" s="14"/>
    </row>
    <row r="757" spans="5:5" ht="15.75" customHeight="1">
      <c r="E757" s="14"/>
    </row>
    <row r="758" spans="5:5" ht="15.75" customHeight="1">
      <c r="E758" s="14"/>
    </row>
    <row r="759" spans="5:5" ht="15.75" customHeight="1">
      <c r="E759" s="14"/>
    </row>
    <row r="760" spans="5:5" ht="15.75" customHeight="1">
      <c r="E760" s="14"/>
    </row>
    <row r="761" spans="5:5" ht="15.75" customHeight="1">
      <c r="E761" s="14"/>
    </row>
    <row r="762" spans="5:5" ht="15.75" customHeight="1">
      <c r="E762" s="14"/>
    </row>
    <row r="763" spans="5:5" ht="15.75" customHeight="1">
      <c r="E763" s="14"/>
    </row>
    <row r="764" spans="5:5" ht="15.75" customHeight="1">
      <c r="E764" s="14"/>
    </row>
    <row r="765" spans="5:5" ht="15.75" customHeight="1">
      <c r="E765" s="14"/>
    </row>
    <row r="766" spans="5:5" ht="15.75" customHeight="1">
      <c r="E766" s="14"/>
    </row>
    <row r="767" spans="5:5" ht="15.75" customHeight="1">
      <c r="E767" s="14"/>
    </row>
    <row r="768" spans="5:5" ht="15.75" customHeight="1">
      <c r="E768" s="14"/>
    </row>
    <row r="769" spans="5:5" ht="15.75" customHeight="1">
      <c r="E769" s="14"/>
    </row>
    <row r="770" spans="5:5" ht="15.75" customHeight="1">
      <c r="E770" s="14"/>
    </row>
    <row r="771" spans="5:5" ht="15.75" customHeight="1">
      <c r="E771" s="14"/>
    </row>
    <row r="772" spans="5:5" ht="15.75" customHeight="1">
      <c r="E772" s="14"/>
    </row>
    <row r="773" spans="5:5" ht="15.75" customHeight="1">
      <c r="E773" s="14"/>
    </row>
    <row r="774" spans="5:5" ht="15.75" customHeight="1">
      <c r="E774" s="14"/>
    </row>
    <row r="775" spans="5:5" ht="15.75" customHeight="1">
      <c r="E775" s="14"/>
    </row>
    <row r="776" spans="5:5" ht="15.75" customHeight="1">
      <c r="E776" s="14"/>
    </row>
    <row r="777" spans="5:5" ht="15.75" customHeight="1">
      <c r="E777" s="14"/>
    </row>
    <row r="778" spans="5:5" ht="15.75" customHeight="1">
      <c r="E778" s="14"/>
    </row>
    <row r="779" spans="5:5" ht="15.75" customHeight="1">
      <c r="E779" s="14"/>
    </row>
    <row r="780" spans="5:5" ht="15.75" customHeight="1">
      <c r="E780" s="14"/>
    </row>
    <row r="781" spans="5:5" ht="15.75" customHeight="1">
      <c r="E781" s="14"/>
    </row>
    <row r="782" spans="5:5" ht="15.75" customHeight="1">
      <c r="E782" s="14"/>
    </row>
    <row r="783" spans="5:5" ht="15.75" customHeight="1">
      <c r="E783" s="14"/>
    </row>
    <row r="784" spans="5:5" ht="15.75" customHeight="1">
      <c r="E784" s="14"/>
    </row>
    <row r="785" spans="5:5" ht="15.75" customHeight="1">
      <c r="E785" s="14"/>
    </row>
    <row r="786" spans="5:5" ht="15.75" customHeight="1">
      <c r="E786" s="14"/>
    </row>
    <row r="787" spans="5:5" ht="15.75" customHeight="1">
      <c r="E787" s="14"/>
    </row>
    <row r="788" spans="5:5" ht="15.75" customHeight="1">
      <c r="E788" s="14"/>
    </row>
    <row r="789" spans="5:5" ht="15.75" customHeight="1">
      <c r="E789" s="14"/>
    </row>
    <row r="790" spans="5:5" ht="15.75" customHeight="1">
      <c r="E790" s="14"/>
    </row>
    <row r="791" spans="5:5" ht="15.75" customHeight="1">
      <c r="E791" s="14"/>
    </row>
    <row r="792" spans="5:5" ht="15.75" customHeight="1">
      <c r="E792" s="14"/>
    </row>
    <row r="793" spans="5:5" ht="15.75" customHeight="1">
      <c r="E793" s="14"/>
    </row>
    <row r="794" spans="5:5" ht="15.75" customHeight="1">
      <c r="E794" s="14"/>
    </row>
    <row r="795" spans="5:5" ht="15.75" customHeight="1">
      <c r="E795" s="14"/>
    </row>
    <row r="796" spans="5:5" ht="15.75" customHeight="1">
      <c r="E796" s="14"/>
    </row>
    <row r="797" spans="5:5" ht="15.75" customHeight="1">
      <c r="E797" s="14"/>
    </row>
    <row r="798" spans="5:5" ht="15.75" customHeight="1">
      <c r="E798" s="14"/>
    </row>
    <row r="799" spans="5:5" ht="15.75" customHeight="1">
      <c r="E799" s="14"/>
    </row>
    <row r="800" spans="5:5" ht="15.75" customHeight="1">
      <c r="E800" s="14"/>
    </row>
    <row r="801" spans="5:5" ht="15.75" customHeight="1">
      <c r="E801" s="14"/>
    </row>
    <row r="802" spans="5:5" ht="15.75" customHeight="1">
      <c r="E802" s="14"/>
    </row>
    <row r="803" spans="5:5" ht="15.75" customHeight="1">
      <c r="E803" s="14"/>
    </row>
    <row r="804" spans="5:5" ht="15.75" customHeight="1">
      <c r="E804" s="14"/>
    </row>
    <row r="805" spans="5:5" ht="15.75" customHeight="1">
      <c r="E805" s="14"/>
    </row>
    <row r="806" spans="5:5" ht="15.75" customHeight="1">
      <c r="E806" s="14"/>
    </row>
    <row r="807" spans="5:5" ht="15.75" customHeight="1">
      <c r="E807" s="14"/>
    </row>
    <row r="808" spans="5:5" ht="15.75" customHeight="1">
      <c r="E808" s="14"/>
    </row>
    <row r="809" spans="5:5" ht="15.75" customHeight="1">
      <c r="E809" s="14"/>
    </row>
    <row r="810" spans="5:5" ht="15.75" customHeight="1">
      <c r="E810" s="14"/>
    </row>
    <row r="811" spans="5:5" ht="15.75" customHeight="1">
      <c r="E811" s="14"/>
    </row>
    <row r="812" spans="5:5" ht="15.75" customHeight="1">
      <c r="E812" s="14"/>
    </row>
    <row r="813" spans="5:5" ht="15.75" customHeight="1">
      <c r="E813" s="14"/>
    </row>
    <row r="814" spans="5:5" ht="15.75" customHeight="1">
      <c r="E814" s="14"/>
    </row>
    <row r="815" spans="5:5" ht="15.75" customHeight="1">
      <c r="E815" s="14"/>
    </row>
    <row r="816" spans="5:5" ht="15.75" customHeight="1">
      <c r="E816" s="14"/>
    </row>
    <row r="817" spans="5:5" ht="15.75" customHeight="1">
      <c r="E817" s="14"/>
    </row>
    <row r="818" spans="5:5" ht="15.75" customHeight="1">
      <c r="E818" s="14"/>
    </row>
    <row r="819" spans="5:5" ht="15.75" customHeight="1">
      <c r="E819" s="14"/>
    </row>
    <row r="820" spans="5:5" ht="15.75" customHeight="1">
      <c r="E820" s="14"/>
    </row>
    <row r="821" spans="5:5" ht="15.75" customHeight="1">
      <c r="E821" s="14"/>
    </row>
    <row r="822" spans="5:5" ht="15.75" customHeight="1">
      <c r="E822" s="14"/>
    </row>
    <row r="823" spans="5:5" ht="15.75" customHeight="1">
      <c r="E823" s="14"/>
    </row>
    <row r="824" spans="5:5" ht="15.75" customHeight="1">
      <c r="E824" s="14"/>
    </row>
    <row r="825" spans="5:5" ht="15.75" customHeight="1">
      <c r="E825" s="14"/>
    </row>
    <row r="826" spans="5:5" ht="15.75" customHeight="1">
      <c r="E826" s="14"/>
    </row>
    <row r="827" spans="5:5" ht="15.75" customHeight="1">
      <c r="E827" s="14"/>
    </row>
    <row r="828" spans="5:5" ht="15.75" customHeight="1">
      <c r="E828" s="14"/>
    </row>
    <row r="829" spans="5:5" ht="15.75" customHeight="1">
      <c r="E829" s="14"/>
    </row>
    <row r="830" spans="5:5" ht="15.75" customHeight="1">
      <c r="E830" s="14"/>
    </row>
    <row r="831" spans="5:5" ht="15.75" customHeight="1">
      <c r="E831" s="14"/>
    </row>
    <row r="832" spans="5:5" ht="15.75" customHeight="1">
      <c r="E832" s="14"/>
    </row>
    <row r="833" spans="5:5" ht="15.75" customHeight="1">
      <c r="E833" s="14"/>
    </row>
    <row r="834" spans="5:5" ht="15.75" customHeight="1">
      <c r="E834" s="14"/>
    </row>
    <row r="835" spans="5:5" ht="15.75" customHeight="1">
      <c r="E835" s="14"/>
    </row>
    <row r="836" spans="5:5" ht="15.75" customHeight="1">
      <c r="E836" s="14"/>
    </row>
    <row r="837" spans="5:5" ht="15.75" customHeight="1">
      <c r="E837" s="14"/>
    </row>
    <row r="838" spans="5:5" ht="15.75" customHeight="1">
      <c r="E838" s="14"/>
    </row>
    <row r="839" spans="5:5" ht="15.75" customHeight="1">
      <c r="E839" s="14"/>
    </row>
    <row r="840" spans="5:5" ht="15.75" customHeight="1">
      <c r="E840" s="14"/>
    </row>
    <row r="841" spans="5:5" ht="15.75" customHeight="1">
      <c r="E841" s="14"/>
    </row>
    <row r="842" spans="5:5" ht="15.75" customHeight="1">
      <c r="E842" s="14"/>
    </row>
    <row r="843" spans="5:5" ht="15.75" customHeight="1">
      <c r="E843" s="14"/>
    </row>
    <row r="844" spans="5:5" ht="15.75" customHeight="1">
      <c r="E844" s="14"/>
    </row>
    <row r="845" spans="5:5" ht="15.75" customHeight="1">
      <c r="E845" s="14"/>
    </row>
    <row r="846" spans="5:5" ht="15.75" customHeight="1">
      <c r="E846" s="14"/>
    </row>
    <row r="847" spans="5:5" ht="15.75" customHeight="1">
      <c r="E847" s="14"/>
    </row>
    <row r="848" spans="5:5" ht="15.75" customHeight="1">
      <c r="E848" s="14"/>
    </row>
    <row r="849" spans="5:5" ht="15.75" customHeight="1">
      <c r="E849" s="14"/>
    </row>
    <row r="850" spans="5:5" ht="15.75" customHeight="1">
      <c r="E850" s="14"/>
    </row>
    <row r="851" spans="5:5" ht="15.75" customHeight="1">
      <c r="E851" s="14"/>
    </row>
    <row r="852" spans="5:5" ht="15.75" customHeight="1">
      <c r="E852" s="14"/>
    </row>
    <row r="853" spans="5:5" ht="15.75" customHeight="1">
      <c r="E853" s="14"/>
    </row>
    <row r="854" spans="5:5" ht="15.75" customHeight="1">
      <c r="E854" s="14"/>
    </row>
    <row r="855" spans="5:5" ht="15.75" customHeight="1">
      <c r="E855" s="14"/>
    </row>
    <row r="856" spans="5:5" ht="15.75" customHeight="1">
      <c r="E856" s="14"/>
    </row>
    <row r="857" spans="5:5" ht="15.75" customHeight="1">
      <c r="E857" s="14"/>
    </row>
    <row r="858" spans="5:5" ht="15.75" customHeight="1">
      <c r="E858" s="14"/>
    </row>
    <row r="859" spans="5:5" ht="15.75" customHeight="1">
      <c r="E859" s="14"/>
    </row>
    <row r="860" spans="5:5" ht="15.75" customHeight="1">
      <c r="E860" s="14"/>
    </row>
    <row r="861" spans="5:5" ht="15.75" customHeight="1">
      <c r="E861" s="14"/>
    </row>
    <row r="862" spans="5:5" ht="15.75" customHeight="1">
      <c r="E862" s="14"/>
    </row>
    <row r="863" spans="5:5" ht="15.75" customHeight="1">
      <c r="E863" s="14"/>
    </row>
    <row r="864" spans="5:5" ht="15.75" customHeight="1">
      <c r="E864" s="14"/>
    </row>
    <row r="865" spans="5:5" ht="15.75" customHeight="1">
      <c r="E865" s="14"/>
    </row>
    <row r="866" spans="5:5" ht="15.75" customHeight="1">
      <c r="E866" s="14"/>
    </row>
    <row r="867" spans="5:5" ht="15.75" customHeight="1">
      <c r="E867" s="14"/>
    </row>
    <row r="868" spans="5:5" ht="15.75" customHeight="1">
      <c r="E868" s="14"/>
    </row>
    <row r="869" spans="5:5" ht="15.75" customHeight="1">
      <c r="E869" s="14"/>
    </row>
    <row r="870" spans="5:5" ht="15.75" customHeight="1">
      <c r="E870" s="14"/>
    </row>
    <row r="871" spans="5:5" ht="15.75" customHeight="1">
      <c r="E871" s="14"/>
    </row>
    <row r="872" spans="5:5" ht="15.75" customHeight="1">
      <c r="E872" s="14"/>
    </row>
    <row r="873" spans="5:5" ht="15.75" customHeight="1">
      <c r="E873" s="14"/>
    </row>
    <row r="874" spans="5:5" ht="15.75" customHeight="1">
      <c r="E874" s="14"/>
    </row>
    <row r="875" spans="5:5" ht="15.75" customHeight="1">
      <c r="E875" s="14"/>
    </row>
    <row r="876" spans="5:5" ht="15.75" customHeight="1">
      <c r="E876" s="14"/>
    </row>
    <row r="877" spans="5:5" ht="15.75" customHeight="1">
      <c r="E877" s="14"/>
    </row>
    <row r="878" spans="5:5" ht="15.75" customHeight="1">
      <c r="E878" s="14"/>
    </row>
    <row r="879" spans="5:5" ht="15.75" customHeight="1">
      <c r="E879" s="14"/>
    </row>
    <row r="880" spans="5:5" ht="15.75" customHeight="1">
      <c r="E880" s="14"/>
    </row>
    <row r="881" spans="5:5" ht="15.75" customHeight="1">
      <c r="E881" s="14"/>
    </row>
    <row r="882" spans="5:5" ht="15.75" customHeight="1">
      <c r="E882" s="14"/>
    </row>
    <row r="883" spans="5:5" ht="15.75" customHeight="1">
      <c r="E883" s="14"/>
    </row>
    <row r="884" spans="5:5" ht="15.75" customHeight="1">
      <c r="E884" s="14"/>
    </row>
    <row r="885" spans="5:5" ht="15.75" customHeight="1">
      <c r="E885" s="14"/>
    </row>
    <row r="886" spans="5:5" ht="15.75" customHeight="1">
      <c r="E886" s="14"/>
    </row>
    <row r="887" spans="5:5" ht="15.75" customHeight="1">
      <c r="E887" s="14"/>
    </row>
    <row r="888" spans="5:5" ht="15.75" customHeight="1">
      <c r="E888" s="14"/>
    </row>
    <row r="889" spans="5:5" ht="15.75" customHeight="1">
      <c r="E889" s="14"/>
    </row>
    <row r="890" spans="5:5" ht="15.75" customHeight="1">
      <c r="E890" s="14"/>
    </row>
    <row r="891" spans="5:5" ht="15.75" customHeight="1">
      <c r="E891" s="14"/>
    </row>
    <row r="892" spans="5:5" ht="15.75" customHeight="1">
      <c r="E892" s="14"/>
    </row>
    <row r="893" spans="5:5" ht="15.75" customHeight="1">
      <c r="E893" s="14"/>
    </row>
    <row r="894" spans="5:5" ht="15.75" customHeight="1">
      <c r="E894" s="14"/>
    </row>
    <row r="895" spans="5:5" ht="15.75" customHeight="1">
      <c r="E895" s="14"/>
    </row>
    <row r="896" spans="5:5" ht="15.75" customHeight="1">
      <c r="E896" s="14"/>
    </row>
    <row r="897" spans="5:5" ht="15.75" customHeight="1">
      <c r="E897" s="14"/>
    </row>
    <row r="898" spans="5:5" ht="15.75" customHeight="1">
      <c r="E898" s="14"/>
    </row>
    <row r="899" spans="5:5" ht="15.75" customHeight="1">
      <c r="E899" s="14"/>
    </row>
    <row r="900" spans="5:5" ht="15.75" customHeight="1">
      <c r="E900" s="14"/>
    </row>
    <row r="901" spans="5:5" ht="15.75" customHeight="1">
      <c r="E901" s="14"/>
    </row>
    <row r="902" spans="5:5" ht="15.75" customHeight="1">
      <c r="E902" s="14"/>
    </row>
    <row r="903" spans="5:5" ht="15.75" customHeight="1">
      <c r="E903" s="14"/>
    </row>
    <row r="904" spans="5:5" ht="15.75" customHeight="1">
      <c r="E904" s="14"/>
    </row>
    <row r="905" spans="5:5" ht="15.75" customHeight="1">
      <c r="E905" s="14"/>
    </row>
    <row r="906" spans="5:5" ht="15.75" customHeight="1">
      <c r="E906" s="14"/>
    </row>
    <row r="907" spans="5:5" ht="15.75" customHeight="1">
      <c r="E907" s="14"/>
    </row>
    <row r="908" spans="5:5" ht="15.75" customHeight="1">
      <c r="E908" s="14"/>
    </row>
    <row r="909" spans="5:5" ht="15.75" customHeight="1">
      <c r="E909" s="14"/>
    </row>
    <row r="910" spans="5:5" ht="15.75" customHeight="1">
      <c r="E910" s="14"/>
    </row>
    <row r="911" spans="5:5" ht="15.75" customHeight="1">
      <c r="E911" s="14"/>
    </row>
    <row r="912" spans="5:5" ht="15.75" customHeight="1">
      <c r="E912" s="14"/>
    </row>
    <row r="913" spans="5:5" ht="15.75" customHeight="1">
      <c r="E913" s="14"/>
    </row>
    <row r="914" spans="5:5" ht="15.75" customHeight="1">
      <c r="E914" s="14"/>
    </row>
    <row r="915" spans="5:5" ht="15.75" customHeight="1">
      <c r="E915" s="14"/>
    </row>
    <row r="916" spans="5:5" ht="15.75" customHeight="1">
      <c r="E916" s="14"/>
    </row>
    <row r="917" spans="5:5" ht="15.75" customHeight="1">
      <c r="E917" s="14"/>
    </row>
    <row r="918" spans="5:5" ht="15.75" customHeight="1">
      <c r="E918" s="14"/>
    </row>
    <row r="919" spans="5:5" ht="15.75" customHeight="1">
      <c r="E919" s="14"/>
    </row>
    <row r="920" spans="5:5" ht="15.75" customHeight="1">
      <c r="E920" s="14"/>
    </row>
    <row r="921" spans="5:5" ht="15.75" customHeight="1">
      <c r="E921" s="14"/>
    </row>
    <row r="922" spans="5:5" ht="15.75" customHeight="1">
      <c r="E922" s="14"/>
    </row>
    <row r="923" spans="5:5" ht="15.75" customHeight="1">
      <c r="E923" s="14"/>
    </row>
    <row r="924" spans="5:5" ht="15.75" customHeight="1">
      <c r="E924" s="14"/>
    </row>
    <row r="925" spans="5:5" ht="15.75" customHeight="1">
      <c r="E925" s="14"/>
    </row>
    <row r="926" spans="5:5" ht="15.75" customHeight="1">
      <c r="E926" s="14"/>
    </row>
    <row r="927" spans="5:5" ht="15.75" customHeight="1">
      <c r="E927" s="14"/>
    </row>
    <row r="928" spans="5:5" ht="15.75" customHeight="1">
      <c r="E928" s="14"/>
    </row>
    <row r="929" spans="5:5" ht="15.75" customHeight="1">
      <c r="E929" s="14"/>
    </row>
    <row r="930" spans="5:5" ht="15.75" customHeight="1">
      <c r="E930" s="14"/>
    </row>
    <row r="931" spans="5:5" ht="15.75" customHeight="1">
      <c r="E931" s="14"/>
    </row>
    <row r="932" spans="5:5" ht="15.75" customHeight="1">
      <c r="E932" s="14"/>
    </row>
    <row r="933" spans="5:5" ht="15.75" customHeight="1">
      <c r="E933" s="14"/>
    </row>
    <row r="934" spans="5:5" ht="15.75" customHeight="1">
      <c r="E934" s="14"/>
    </row>
    <row r="935" spans="5:5" ht="15.75" customHeight="1">
      <c r="E935" s="14"/>
    </row>
    <row r="936" spans="5:5" ht="15.75" customHeight="1">
      <c r="E936" s="14"/>
    </row>
    <row r="937" spans="5:5" ht="15.75" customHeight="1">
      <c r="E937" s="14"/>
    </row>
    <row r="938" spans="5:5" ht="15.75" customHeight="1">
      <c r="E938" s="14"/>
    </row>
    <row r="939" spans="5:5" ht="15.75" customHeight="1">
      <c r="E939" s="14"/>
    </row>
    <row r="940" spans="5:5" ht="15.75" customHeight="1">
      <c r="E940" s="14"/>
    </row>
    <row r="941" spans="5:5" ht="15.75" customHeight="1">
      <c r="E941" s="14"/>
    </row>
    <row r="942" spans="5:5" ht="15.75" customHeight="1">
      <c r="E942" s="14"/>
    </row>
    <row r="943" spans="5:5" ht="15.75" customHeight="1">
      <c r="E943" s="14"/>
    </row>
    <row r="944" spans="5:5" ht="15.75" customHeight="1">
      <c r="E944" s="14"/>
    </row>
    <row r="945" spans="5:5" ht="15.75" customHeight="1">
      <c r="E945" s="14"/>
    </row>
    <row r="946" spans="5:5" ht="15.75" customHeight="1">
      <c r="E946" s="14"/>
    </row>
    <row r="947" spans="5:5" ht="15.75" customHeight="1">
      <c r="E947" s="14"/>
    </row>
    <row r="948" spans="5:5" ht="15.75" customHeight="1">
      <c r="E948" s="14"/>
    </row>
    <row r="949" spans="5:5" ht="15.75" customHeight="1">
      <c r="E949" s="14"/>
    </row>
    <row r="950" spans="5:5" ht="15.75" customHeight="1">
      <c r="E950" s="14"/>
    </row>
    <row r="951" spans="5:5" ht="15.75" customHeight="1">
      <c r="E951" s="14"/>
    </row>
    <row r="952" spans="5:5" ht="15.75" customHeight="1">
      <c r="E952" s="14"/>
    </row>
    <row r="953" spans="5:5" ht="15.75" customHeight="1">
      <c r="E953" s="14"/>
    </row>
    <row r="954" spans="5:5" ht="15.75" customHeight="1">
      <c r="E954" s="14"/>
    </row>
    <row r="955" spans="5:5" ht="15.75" customHeight="1">
      <c r="E955" s="14"/>
    </row>
    <row r="956" spans="5:5" ht="15.75" customHeight="1">
      <c r="E956" s="14"/>
    </row>
    <row r="957" spans="5:5" ht="15.75" customHeight="1">
      <c r="E957" s="14"/>
    </row>
    <row r="958" spans="5:5" ht="15.75" customHeight="1">
      <c r="E958" s="14"/>
    </row>
    <row r="959" spans="5:5" ht="15.75" customHeight="1">
      <c r="E959" s="14"/>
    </row>
    <row r="960" spans="5:5" ht="15.75" customHeight="1">
      <c r="E960" s="14"/>
    </row>
    <row r="961" spans="5:5" ht="15.75" customHeight="1">
      <c r="E961" s="14"/>
    </row>
    <row r="962" spans="5:5" ht="15.75" customHeight="1">
      <c r="E962" s="14"/>
    </row>
    <row r="963" spans="5:5" ht="15.75" customHeight="1">
      <c r="E963" s="14"/>
    </row>
    <row r="964" spans="5:5" ht="15.75" customHeight="1">
      <c r="E964" s="14"/>
    </row>
    <row r="965" spans="5:5" ht="15.75" customHeight="1">
      <c r="E965" s="14"/>
    </row>
    <row r="966" spans="5:5" ht="15.75" customHeight="1">
      <c r="E966" s="14"/>
    </row>
    <row r="967" spans="5:5" ht="15.75" customHeight="1">
      <c r="E967" s="14"/>
    </row>
    <row r="968" spans="5:5" ht="15.75" customHeight="1">
      <c r="E968" s="14"/>
    </row>
    <row r="969" spans="5:5" ht="15.75" customHeight="1">
      <c r="E969" s="14"/>
    </row>
    <row r="970" spans="5:5" ht="15.75" customHeight="1">
      <c r="E970" s="14"/>
    </row>
    <row r="971" spans="5:5" ht="15.75" customHeight="1">
      <c r="E971" s="14"/>
    </row>
    <row r="972" spans="5:5" ht="15.75" customHeight="1">
      <c r="E972" s="14"/>
    </row>
    <row r="973" spans="5:5" ht="15.75" customHeight="1">
      <c r="E973" s="14"/>
    </row>
    <row r="974" spans="5:5" ht="15.75" customHeight="1">
      <c r="E974" s="14"/>
    </row>
    <row r="975" spans="5:5" ht="15.75" customHeight="1">
      <c r="E975" s="14"/>
    </row>
    <row r="976" spans="5:5" ht="15.75" customHeight="1">
      <c r="E976" s="14"/>
    </row>
    <row r="977" spans="5:5" ht="15.75" customHeight="1">
      <c r="E977" s="14"/>
    </row>
    <row r="978" spans="5:5" ht="15.75" customHeight="1">
      <c r="E978" s="14"/>
    </row>
    <row r="979" spans="5:5" ht="15.75" customHeight="1">
      <c r="E979" s="14"/>
    </row>
    <row r="980" spans="5:5" ht="15.75" customHeight="1">
      <c r="E980" s="14"/>
    </row>
    <row r="981" spans="5:5" ht="15.75" customHeight="1">
      <c r="E981" s="14"/>
    </row>
    <row r="982" spans="5:5" ht="15.75" customHeight="1">
      <c r="E982" s="14"/>
    </row>
    <row r="983" spans="5:5" ht="15.75" customHeight="1">
      <c r="E983" s="14"/>
    </row>
    <row r="984" spans="5:5" ht="15.75" customHeight="1">
      <c r="E984" s="14"/>
    </row>
    <row r="985" spans="5:5" ht="15.75" customHeight="1">
      <c r="E985" s="14"/>
    </row>
    <row r="986" spans="5:5" ht="15.75" customHeight="1">
      <c r="E986" s="14"/>
    </row>
    <row r="987" spans="5:5" ht="15.75" customHeight="1">
      <c r="E987" s="14"/>
    </row>
    <row r="988" spans="5:5" ht="15.75" customHeight="1">
      <c r="E988" s="14"/>
    </row>
    <row r="989" spans="5:5" ht="15.75" customHeight="1">
      <c r="E989" s="14"/>
    </row>
    <row r="990" spans="5:5" ht="15.75" customHeight="1">
      <c r="E990" s="14"/>
    </row>
    <row r="991" spans="5:5" ht="15.75" customHeight="1">
      <c r="E991" s="14"/>
    </row>
    <row r="992" spans="5:5" ht="15.75" customHeight="1">
      <c r="E992" s="14"/>
    </row>
    <row r="993" spans="5:5" ht="15.75" customHeight="1">
      <c r="E993" s="14"/>
    </row>
    <row r="994" spans="5:5" ht="15.75" customHeight="1">
      <c r="E994" s="14"/>
    </row>
    <row r="995" spans="5:5" ht="15.75" customHeight="1">
      <c r="E995" s="14"/>
    </row>
    <row r="996" spans="5:5" ht="15.75" customHeight="1">
      <c r="E996" s="14"/>
    </row>
    <row r="997" spans="5:5" ht="15.75" customHeight="1">
      <c r="E997" s="14"/>
    </row>
    <row r="998" spans="5:5" ht="15.75" customHeight="1">
      <c r="E998" s="14"/>
    </row>
    <row r="999" spans="5:5" ht="15.75" customHeight="1">
      <c r="E999" s="14"/>
    </row>
    <row r="1000" spans="5:5" ht="15.75" customHeight="1">
      <c r="E1000" s="14"/>
    </row>
  </sheetData>
  <mergeCells count="2">
    <mergeCell ref="A1:F1"/>
    <mergeCell ref="A2:F2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3" width="18" customWidth="1"/>
    <col min="4" max="4" width="33" customWidth="1"/>
    <col min="5" max="5" width="18" customWidth="1"/>
    <col min="6" max="6" width="24" customWidth="1"/>
    <col min="7" max="7" width="18" customWidth="1"/>
    <col min="8" max="8" width="23" customWidth="1"/>
    <col min="9" max="10" width="18" customWidth="1"/>
    <col min="11" max="26" width="8.7109375" customWidth="1"/>
  </cols>
  <sheetData>
    <row r="1" spans="1:10" ht="18.75">
      <c r="A1" s="28" t="s">
        <v>1245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7.5" customHeight="1">
      <c r="A2" s="31" t="s">
        <v>1246</v>
      </c>
      <c r="B2" s="29"/>
      <c r="C2" s="29"/>
      <c r="D2" s="29"/>
      <c r="E2" s="29"/>
      <c r="F2" s="29"/>
      <c r="G2" s="29"/>
      <c r="H2" s="29"/>
      <c r="I2" s="29"/>
      <c r="J2" s="29"/>
    </row>
    <row r="4" spans="1:10">
      <c r="A4" s="1" t="s">
        <v>4</v>
      </c>
      <c r="B4" s="1" t="s">
        <v>5</v>
      </c>
      <c r="C4" s="1" t="s">
        <v>1214</v>
      </c>
      <c r="D4" s="1" t="s">
        <v>1215</v>
      </c>
      <c r="E4" s="1" t="s">
        <v>1247</v>
      </c>
      <c r="F4" s="1" t="s">
        <v>1248</v>
      </c>
      <c r="G4" s="1" t="s">
        <v>7</v>
      </c>
      <c r="H4" s="1" t="s">
        <v>1196</v>
      </c>
      <c r="I4" s="1" t="s">
        <v>698</v>
      </c>
      <c r="J4" s="1" t="s">
        <v>74</v>
      </c>
    </row>
    <row r="5" spans="1:10">
      <c r="A5" s="2" t="s">
        <v>75</v>
      </c>
      <c r="B5" s="2" t="s">
        <v>759</v>
      </c>
      <c r="C5" s="3" t="s">
        <v>1219</v>
      </c>
      <c r="D5" s="2" t="s">
        <v>1220</v>
      </c>
      <c r="E5" s="2" t="s">
        <v>1249</v>
      </c>
      <c r="F5" s="2" t="s">
        <v>1250</v>
      </c>
      <c r="G5" s="3" t="s">
        <v>763</v>
      </c>
      <c r="H5" s="3" t="s">
        <v>1201</v>
      </c>
      <c r="I5" s="3" t="s">
        <v>1251</v>
      </c>
      <c r="J5" s="3" t="s">
        <v>85</v>
      </c>
    </row>
    <row r="6" spans="1:10">
      <c r="A6" s="4" t="s">
        <v>36</v>
      </c>
      <c r="B6" s="4" t="s">
        <v>36</v>
      </c>
      <c r="C6" s="4" t="s">
        <v>38</v>
      </c>
      <c r="D6" s="4" t="s">
        <v>36</v>
      </c>
      <c r="E6" s="4" t="s">
        <v>36</v>
      </c>
      <c r="F6" s="4" t="s">
        <v>36</v>
      </c>
      <c r="G6" s="4" t="s">
        <v>38</v>
      </c>
      <c r="H6" s="4" t="s">
        <v>38</v>
      </c>
      <c r="I6" s="4" t="s">
        <v>38</v>
      </c>
      <c r="J6" s="4" t="s">
        <v>38</v>
      </c>
    </row>
    <row r="7" spans="1:10" ht="90" customHeight="1">
      <c r="A7" s="5"/>
      <c r="B7" s="5"/>
      <c r="C7" s="5" t="s">
        <v>1224</v>
      </c>
      <c r="D7" s="5" t="s">
        <v>1252</v>
      </c>
      <c r="E7" s="5" t="s">
        <v>1253</v>
      </c>
      <c r="F7" s="5"/>
      <c r="G7" s="5" t="s">
        <v>1206</v>
      </c>
      <c r="H7" s="5" t="s">
        <v>1254</v>
      </c>
      <c r="I7" s="5" t="s">
        <v>720</v>
      </c>
      <c r="J7" s="5"/>
    </row>
    <row r="8" spans="1:10">
      <c r="A8" s="6" t="s">
        <v>1255</v>
      </c>
      <c r="B8" s="6" t="s">
        <v>1256</v>
      </c>
      <c r="C8" s="6">
        <v>10</v>
      </c>
      <c r="D8" s="6" t="s">
        <v>1257</v>
      </c>
      <c r="E8" s="6" t="s">
        <v>1258</v>
      </c>
      <c r="F8" s="6"/>
      <c r="G8" s="6" t="s">
        <v>54</v>
      </c>
      <c r="H8" s="6"/>
      <c r="I8" s="6" t="s">
        <v>56</v>
      </c>
      <c r="J8" s="6" t="s">
        <v>1259</v>
      </c>
    </row>
    <row r="9" spans="1:10">
      <c r="A9" s="6" t="s">
        <v>1260</v>
      </c>
      <c r="B9" s="6" t="s">
        <v>1261</v>
      </c>
      <c r="C9" s="6">
        <v>20</v>
      </c>
      <c r="D9" s="6" t="s">
        <v>1262</v>
      </c>
      <c r="E9" s="6" t="s">
        <v>1263</v>
      </c>
      <c r="F9" s="6"/>
      <c r="G9" s="6" t="s">
        <v>54</v>
      </c>
      <c r="H9" s="6"/>
      <c r="I9" s="6" t="s">
        <v>56</v>
      </c>
      <c r="J9" s="6" t="s">
        <v>1264</v>
      </c>
    </row>
    <row r="10" spans="1:10">
      <c r="A10" s="6" t="s">
        <v>1265</v>
      </c>
      <c r="B10" s="6" t="s">
        <v>1266</v>
      </c>
      <c r="C10" s="6">
        <v>30</v>
      </c>
      <c r="D10" s="6" t="s">
        <v>1267</v>
      </c>
      <c r="E10" s="6" t="s">
        <v>1268</v>
      </c>
      <c r="F10" s="6"/>
      <c r="G10" s="6" t="s">
        <v>54</v>
      </c>
      <c r="H10" s="6"/>
      <c r="I10" s="6" t="s">
        <v>56</v>
      </c>
      <c r="J10" s="6" t="s">
        <v>1269</v>
      </c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2578125" defaultRowHeight="15" customHeight="1"/>
  <cols>
    <col min="1" max="2" width="18" customWidth="1"/>
    <col min="3" max="3" width="23" customWidth="1"/>
    <col min="4" max="4" width="19" customWidth="1"/>
    <col min="5" max="5" width="29" customWidth="1"/>
    <col min="6" max="6" width="20" customWidth="1"/>
    <col min="7" max="8" width="18" customWidth="1"/>
    <col min="9" max="9" width="20" customWidth="1"/>
    <col min="10" max="10" width="32" customWidth="1"/>
    <col min="11" max="11" width="18" customWidth="1"/>
    <col min="12" max="14" width="21" customWidth="1"/>
    <col min="15" max="16" width="18" customWidth="1"/>
    <col min="17" max="17" width="30" customWidth="1"/>
    <col min="18" max="18" width="20" customWidth="1"/>
    <col min="19" max="19" width="23" customWidth="1"/>
    <col min="20" max="20" width="18" customWidth="1"/>
    <col min="21" max="26" width="8.7109375" customWidth="1"/>
  </cols>
  <sheetData>
    <row r="1" spans="1:20" ht="18.75">
      <c r="A1" s="28" t="s">
        <v>1270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37.5" customHeight="1">
      <c r="A2" s="31" t="s">
        <v>1271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4" spans="1:20">
      <c r="A4" s="1" t="s">
        <v>4</v>
      </c>
      <c r="B4" s="1" t="s">
        <v>5</v>
      </c>
      <c r="C4" s="1" t="s">
        <v>1192</v>
      </c>
      <c r="D4" s="1" t="s">
        <v>1272</v>
      </c>
      <c r="E4" s="1" t="s">
        <v>1273</v>
      </c>
      <c r="F4" s="1" t="s">
        <v>1274</v>
      </c>
      <c r="G4" s="1" t="s">
        <v>1275</v>
      </c>
      <c r="H4" s="1" t="s">
        <v>1276</v>
      </c>
      <c r="I4" s="1" t="s">
        <v>1277</v>
      </c>
      <c r="J4" s="1" t="s">
        <v>1278</v>
      </c>
      <c r="K4" s="1" t="s">
        <v>1279</v>
      </c>
      <c r="L4" s="1" t="s">
        <v>1280</v>
      </c>
      <c r="M4" s="1" t="s">
        <v>1281</v>
      </c>
      <c r="N4" s="1" t="s">
        <v>1282</v>
      </c>
      <c r="O4" s="1" t="s">
        <v>1283</v>
      </c>
      <c r="P4" s="1" t="s">
        <v>1284</v>
      </c>
      <c r="Q4" s="1" t="s">
        <v>1285</v>
      </c>
      <c r="R4" s="1" t="s">
        <v>1286</v>
      </c>
      <c r="S4" s="1" t="s">
        <v>1287</v>
      </c>
      <c r="T4" s="1" t="s">
        <v>1288</v>
      </c>
    </row>
    <row r="5" spans="1:20">
      <c r="A5" s="2" t="s">
        <v>75</v>
      </c>
      <c r="B5" s="2" t="s">
        <v>1289</v>
      </c>
      <c r="C5" s="2" t="s">
        <v>1290</v>
      </c>
      <c r="D5" s="2" t="s">
        <v>1291</v>
      </c>
      <c r="E5" s="3" t="s">
        <v>1201</v>
      </c>
      <c r="F5" s="2" t="s">
        <v>1292</v>
      </c>
      <c r="G5" s="2" t="s">
        <v>1293</v>
      </c>
      <c r="H5" s="2" t="s">
        <v>1294</v>
      </c>
      <c r="I5" s="3" t="s">
        <v>1295</v>
      </c>
      <c r="J5" s="3" t="s">
        <v>1296</v>
      </c>
      <c r="K5" s="3" t="s">
        <v>1297</v>
      </c>
      <c r="L5" s="3" t="s">
        <v>1298</v>
      </c>
      <c r="M5" s="3" t="s">
        <v>1299</v>
      </c>
      <c r="N5" s="3" t="s">
        <v>1300</v>
      </c>
      <c r="O5" s="3" t="s">
        <v>1301</v>
      </c>
      <c r="P5" s="3" t="s">
        <v>1302</v>
      </c>
      <c r="Q5" s="3" t="s">
        <v>1303</v>
      </c>
      <c r="R5" s="3" t="s">
        <v>1304</v>
      </c>
      <c r="S5" s="3" t="s">
        <v>1305</v>
      </c>
      <c r="T5" s="3" t="s">
        <v>85</v>
      </c>
    </row>
    <row r="6" spans="1:20">
      <c r="A6" s="4" t="s">
        <v>36</v>
      </c>
      <c r="B6" s="4" t="s">
        <v>36</v>
      </c>
      <c r="C6" s="4" t="s">
        <v>36</v>
      </c>
      <c r="D6" s="4" t="s">
        <v>36</v>
      </c>
      <c r="E6" s="4" t="s">
        <v>38</v>
      </c>
      <c r="F6" s="4" t="s">
        <v>36</v>
      </c>
      <c r="G6" s="4" t="s">
        <v>36</v>
      </c>
      <c r="H6" s="4" t="s">
        <v>36</v>
      </c>
      <c r="I6" s="4" t="s">
        <v>38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  <c r="O6" s="4" t="s">
        <v>38</v>
      </c>
      <c r="P6" s="4" t="s">
        <v>38</v>
      </c>
      <c r="Q6" s="4" t="s">
        <v>38</v>
      </c>
      <c r="R6" s="4" t="s">
        <v>38</v>
      </c>
      <c r="S6" s="4" t="s">
        <v>38</v>
      </c>
      <c r="T6" s="4" t="s">
        <v>38</v>
      </c>
    </row>
    <row r="7" spans="1:20" ht="90" customHeight="1">
      <c r="A7" s="5" t="s">
        <v>1306</v>
      </c>
      <c r="B7" s="5" t="s">
        <v>1307</v>
      </c>
      <c r="C7" s="5" t="s">
        <v>1308</v>
      </c>
      <c r="D7" s="5" t="s">
        <v>1309</v>
      </c>
      <c r="E7" s="5" t="s">
        <v>1310</v>
      </c>
      <c r="F7" s="5" t="s">
        <v>1311</v>
      </c>
      <c r="G7" s="5" t="s">
        <v>1312</v>
      </c>
      <c r="H7" s="5" t="s">
        <v>1313</v>
      </c>
      <c r="I7" s="5" t="s">
        <v>1314</v>
      </c>
      <c r="J7" s="5" t="s">
        <v>1315</v>
      </c>
      <c r="K7" s="5" t="s">
        <v>1316</v>
      </c>
      <c r="L7" s="5"/>
      <c r="M7" s="5"/>
      <c r="N7" s="5" t="s">
        <v>1317</v>
      </c>
      <c r="O7" s="5"/>
      <c r="P7" s="5"/>
      <c r="Q7" s="5"/>
      <c r="R7" s="5"/>
      <c r="S7" s="5"/>
      <c r="T7" s="5"/>
    </row>
    <row r="8" spans="1:20">
      <c r="A8" s="6" t="s">
        <v>1318</v>
      </c>
      <c r="B8" s="6" t="s">
        <v>1319</v>
      </c>
      <c r="C8" s="6" t="s">
        <v>1145</v>
      </c>
      <c r="D8" s="6" t="s">
        <v>1319</v>
      </c>
      <c r="E8" s="6"/>
      <c r="F8" s="6" t="s">
        <v>1320</v>
      </c>
      <c r="G8" s="6" t="s">
        <v>1321</v>
      </c>
      <c r="H8" s="6" t="s">
        <v>1322</v>
      </c>
      <c r="I8" s="6" t="s">
        <v>1323</v>
      </c>
      <c r="J8" s="6" t="s">
        <v>1032</v>
      </c>
      <c r="K8" s="6">
        <v>0</v>
      </c>
      <c r="L8" s="6"/>
      <c r="M8" s="6" t="s">
        <v>1324</v>
      </c>
      <c r="N8" s="6"/>
      <c r="O8" s="6" t="s">
        <v>1325</v>
      </c>
      <c r="P8" s="6" t="s">
        <v>1326</v>
      </c>
      <c r="Q8" s="6" t="s">
        <v>1057</v>
      </c>
      <c r="R8" s="6" t="s">
        <v>1327</v>
      </c>
      <c r="S8" s="6" t="s">
        <v>1328</v>
      </c>
      <c r="T8" s="6" t="s">
        <v>1329</v>
      </c>
    </row>
    <row r="9" spans="1:20">
      <c r="A9" s="6" t="s">
        <v>1330</v>
      </c>
      <c r="B9" s="6" t="s">
        <v>1331</v>
      </c>
      <c r="C9" s="6" t="s">
        <v>1145</v>
      </c>
      <c r="D9" s="6" t="s">
        <v>1331</v>
      </c>
      <c r="E9" s="6"/>
      <c r="F9" s="6" t="s">
        <v>1320</v>
      </c>
      <c r="G9" s="6" t="s">
        <v>1332</v>
      </c>
      <c r="H9" s="6" t="s">
        <v>1322</v>
      </c>
      <c r="I9" s="6" t="s">
        <v>1333</v>
      </c>
      <c r="J9" s="6" t="s">
        <v>1032</v>
      </c>
      <c r="K9" s="6">
        <v>12.5</v>
      </c>
      <c r="L9" s="6" t="s">
        <v>1334</v>
      </c>
      <c r="M9" s="6" t="s">
        <v>1335</v>
      </c>
      <c r="N9" s="6"/>
      <c r="O9" s="6" t="s">
        <v>1336</v>
      </c>
      <c r="P9" s="6" t="s">
        <v>1337</v>
      </c>
      <c r="Q9" s="6" t="s">
        <v>1057</v>
      </c>
      <c r="R9" s="6" t="s">
        <v>1327</v>
      </c>
      <c r="S9" s="6" t="s">
        <v>1328</v>
      </c>
      <c r="T9" s="6"/>
    </row>
    <row r="10" spans="1:2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T1"/>
    <mergeCell ref="A2:T2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/>
  </sheetViews>
  <sheetFormatPr defaultColWidth="14.42578125" defaultRowHeight="15" customHeight="1"/>
  <cols>
    <col min="1" max="1" width="32" customWidth="1"/>
    <col min="2" max="2" width="50" customWidth="1"/>
    <col min="3" max="26" width="8.7109375" customWidth="1"/>
  </cols>
  <sheetData>
    <row r="1" spans="1:4" ht="18.75">
      <c r="A1" s="28" t="s">
        <v>1338</v>
      </c>
      <c r="B1" s="29"/>
      <c r="C1" s="29"/>
      <c r="D1" s="29"/>
    </row>
    <row r="3" spans="1:4">
      <c r="A3" s="32" t="s">
        <v>1339</v>
      </c>
      <c r="B3" s="33"/>
      <c r="C3" s="33"/>
      <c r="D3" s="34"/>
    </row>
    <row r="4" spans="1:4">
      <c r="A4" s="27" t="s">
        <v>1340</v>
      </c>
      <c r="B4" s="27" t="s">
        <v>1341</v>
      </c>
    </row>
    <row r="5" spans="1:4">
      <c r="A5" s="7" t="s">
        <v>88</v>
      </c>
      <c r="B5" s="7" t="s">
        <v>1342</v>
      </c>
    </row>
    <row r="6" spans="1:4">
      <c r="A6" s="7" t="s">
        <v>91</v>
      </c>
      <c r="B6" s="7" t="s">
        <v>1343</v>
      </c>
    </row>
    <row r="7" spans="1:4">
      <c r="A7" s="7" t="s">
        <v>92</v>
      </c>
      <c r="B7" s="7" t="s">
        <v>233</v>
      </c>
    </row>
    <row r="8" spans="1:4">
      <c r="A8" s="7" t="s">
        <v>1344</v>
      </c>
      <c r="B8" s="7" t="s">
        <v>243</v>
      </c>
    </row>
    <row r="9" spans="1:4">
      <c r="A9" s="7" t="s">
        <v>98</v>
      </c>
      <c r="B9" s="7" t="s">
        <v>258</v>
      </c>
    </row>
    <row r="10" spans="1:4">
      <c r="A10" s="7" t="s">
        <v>216</v>
      </c>
      <c r="B10" s="7" t="s">
        <v>1345</v>
      </c>
    </row>
    <row r="11" spans="1:4">
      <c r="A11" s="7" t="s">
        <v>101</v>
      </c>
      <c r="B11" s="7" t="s">
        <v>1346</v>
      </c>
    </row>
    <row r="12" spans="1:4">
      <c r="A12" s="7" t="s">
        <v>1347</v>
      </c>
      <c r="B12" s="7" t="s">
        <v>1348</v>
      </c>
    </row>
    <row r="13" spans="1:4">
      <c r="A13" s="7" t="s">
        <v>104</v>
      </c>
      <c r="B13" s="7" t="s">
        <v>313</v>
      </c>
    </row>
    <row r="14" spans="1:4">
      <c r="A14" s="7" t="s">
        <v>1349</v>
      </c>
      <c r="B14" s="7" t="s">
        <v>389</v>
      </c>
    </row>
    <row r="15" spans="1:4">
      <c r="A15" s="7" t="s">
        <v>107</v>
      </c>
      <c r="B15" s="7" t="s">
        <v>408</v>
      </c>
    </row>
    <row r="16" spans="1:4">
      <c r="A16" s="7" t="s">
        <v>108</v>
      </c>
      <c r="B16" s="7" t="s">
        <v>430</v>
      </c>
    </row>
    <row r="17" spans="1:4">
      <c r="A17" s="7" t="s">
        <v>110</v>
      </c>
      <c r="B17" s="7" t="s">
        <v>433</v>
      </c>
    </row>
    <row r="18" spans="1:4">
      <c r="A18" s="7" t="s">
        <v>113</v>
      </c>
      <c r="B18" s="7" t="s">
        <v>636</v>
      </c>
    </row>
    <row r="19" spans="1:4">
      <c r="A19" s="7" t="s">
        <v>118</v>
      </c>
      <c r="B19" s="7" t="s">
        <v>463</v>
      </c>
    </row>
    <row r="20" spans="1:4">
      <c r="A20" s="7" t="s">
        <v>121</v>
      </c>
      <c r="B20" s="7" t="s">
        <v>509</v>
      </c>
    </row>
    <row r="21" spans="1:4" ht="15.75" customHeight="1">
      <c r="A21" s="7" t="s">
        <v>116</v>
      </c>
      <c r="B21" s="7" t="s">
        <v>442</v>
      </c>
    </row>
    <row r="22" spans="1:4" ht="15.75" customHeight="1">
      <c r="A22" s="7" t="s">
        <v>1350</v>
      </c>
      <c r="B22" s="7" t="s">
        <v>1351</v>
      </c>
    </row>
    <row r="23" spans="1:4" ht="15.75" customHeight="1"/>
    <row r="24" spans="1:4" ht="15.75" customHeight="1">
      <c r="A24" s="32" t="s">
        <v>1352</v>
      </c>
      <c r="B24" s="33"/>
      <c r="C24" s="33"/>
      <c r="D24" s="34"/>
    </row>
    <row r="25" spans="1:4" ht="15.75" customHeight="1">
      <c r="A25" s="27" t="s">
        <v>1340</v>
      </c>
      <c r="B25" s="27" t="s">
        <v>1341</v>
      </c>
    </row>
    <row r="26" spans="1:4" ht="15.75" customHeight="1">
      <c r="A26" s="7" t="s">
        <v>111</v>
      </c>
      <c r="B26" s="7" t="s">
        <v>1353</v>
      </c>
    </row>
    <row r="27" spans="1:4" ht="15.75" customHeight="1">
      <c r="A27" s="7" t="s">
        <v>114</v>
      </c>
      <c r="B27" s="7" t="s">
        <v>1354</v>
      </c>
    </row>
    <row r="28" spans="1:4" ht="15.75" customHeight="1">
      <c r="A28" s="7" t="s">
        <v>117</v>
      </c>
      <c r="B28" s="7" t="s">
        <v>1355</v>
      </c>
    </row>
    <row r="29" spans="1:4" ht="15.75" customHeight="1">
      <c r="A29" s="7" t="s">
        <v>119</v>
      </c>
      <c r="B29" s="7" t="s">
        <v>1356</v>
      </c>
    </row>
    <row r="30" spans="1:4" ht="15.75" customHeight="1">
      <c r="A30" s="7" t="s">
        <v>1357</v>
      </c>
      <c r="B30" s="7" t="s">
        <v>1358</v>
      </c>
    </row>
    <row r="31" spans="1:4" ht="15.75" customHeight="1">
      <c r="A31" s="7" t="s">
        <v>122</v>
      </c>
      <c r="B31" s="7" t="s">
        <v>1359</v>
      </c>
    </row>
    <row r="32" spans="1:4" ht="15.75" customHeight="1">
      <c r="A32" s="7" t="s">
        <v>123</v>
      </c>
      <c r="B32" s="7" t="s">
        <v>1360</v>
      </c>
    </row>
    <row r="33" spans="1:4" ht="15.75" customHeight="1">
      <c r="A33" s="7" t="s">
        <v>89</v>
      </c>
      <c r="B33" s="7" t="s">
        <v>1361</v>
      </c>
    </row>
    <row r="34" spans="1:4" ht="15.75" customHeight="1">
      <c r="A34" s="7" t="s">
        <v>99</v>
      </c>
      <c r="B34" s="7" t="s">
        <v>1362</v>
      </c>
    </row>
    <row r="35" spans="1:4" ht="15.75" customHeight="1">
      <c r="A35" s="7" t="s">
        <v>102</v>
      </c>
      <c r="B35" s="7" t="s">
        <v>1363</v>
      </c>
    </row>
    <row r="36" spans="1:4" ht="15.75" customHeight="1">
      <c r="A36" s="7" t="s">
        <v>1364</v>
      </c>
      <c r="B36" s="7" t="s">
        <v>1365</v>
      </c>
    </row>
    <row r="37" spans="1:4" ht="15.75" customHeight="1">
      <c r="A37" s="7" t="s">
        <v>107</v>
      </c>
      <c r="B37" s="7" t="s">
        <v>408</v>
      </c>
    </row>
    <row r="38" spans="1:4" ht="15.75" customHeight="1"/>
    <row r="39" spans="1:4" ht="15.75" customHeight="1">
      <c r="A39" s="32" t="s">
        <v>1366</v>
      </c>
      <c r="B39" s="33"/>
      <c r="C39" s="33"/>
      <c r="D39" s="34"/>
    </row>
    <row r="40" spans="1:4" ht="15.75" customHeight="1">
      <c r="A40" s="27" t="s">
        <v>1340</v>
      </c>
      <c r="B40" s="27" t="s">
        <v>1341</v>
      </c>
    </row>
    <row r="41" spans="1:4" ht="15.75" customHeight="1">
      <c r="A41" s="7" t="s">
        <v>728</v>
      </c>
      <c r="B41" s="7" t="s">
        <v>1367</v>
      </c>
    </row>
    <row r="42" spans="1:4" ht="15.75" customHeight="1">
      <c r="A42" s="7" t="s">
        <v>1368</v>
      </c>
      <c r="B42" s="7" t="s">
        <v>1369</v>
      </c>
    </row>
    <row r="43" spans="1:4" ht="15.75" customHeight="1">
      <c r="A43" s="7" t="s">
        <v>1370</v>
      </c>
      <c r="B43" s="7" t="s">
        <v>1371</v>
      </c>
    </row>
    <row r="44" spans="1:4" ht="15.75" customHeight="1">
      <c r="A44" s="7" t="s">
        <v>745</v>
      </c>
      <c r="B44" s="7" t="s">
        <v>1372</v>
      </c>
    </row>
    <row r="45" spans="1:4" ht="15.75" customHeight="1">
      <c r="A45" s="7" t="s">
        <v>740</v>
      </c>
      <c r="B45" s="7" t="s">
        <v>1373</v>
      </c>
    </row>
    <row r="46" spans="1:4" ht="15.75" customHeight="1">
      <c r="A46" s="7" t="s">
        <v>1374</v>
      </c>
      <c r="B46" s="7" t="s">
        <v>1375</v>
      </c>
    </row>
    <row r="47" spans="1:4" ht="15.75" customHeight="1">
      <c r="A47" s="7" t="s">
        <v>1376</v>
      </c>
      <c r="B47" s="7" t="s">
        <v>1377</v>
      </c>
    </row>
    <row r="48" spans="1:4" ht="15.75" customHeight="1">
      <c r="A48" s="7" t="s">
        <v>1378</v>
      </c>
      <c r="B48" s="7" t="s">
        <v>1379</v>
      </c>
    </row>
    <row r="49" spans="1:4" ht="15.75" customHeight="1">
      <c r="A49" s="7" t="s">
        <v>1380</v>
      </c>
      <c r="B49" s="7" t="s">
        <v>1381</v>
      </c>
    </row>
    <row r="50" spans="1:4" ht="15.75" customHeight="1">
      <c r="A50" s="7" t="s">
        <v>1382</v>
      </c>
      <c r="B50" s="7" t="s">
        <v>1383</v>
      </c>
    </row>
    <row r="51" spans="1:4" ht="15.75" customHeight="1"/>
    <row r="52" spans="1:4" ht="15.75" customHeight="1">
      <c r="A52" s="32" t="s">
        <v>1384</v>
      </c>
      <c r="B52" s="33"/>
      <c r="C52" s="33"/>
      <c r="D52" s="34"/>
    </row>
    <row r="53" spans="1:4" ht="15.75" customHeight="1">
      <c r="A53" s="27" t="s">
        <v>1340</v>
      </c>
      <c r="B53" s="27" t="s">
        <v>1341</v>
      </c>
    </row>
    <row r="54" spans="1:4" ht="15.75" customHeight="1">
      <c r="A54" s="7" t="s">
        <v>726</v>
      </c>
      <c r="B54" s="7" t="s">
        <v>1385</v>
      </c>
    </row>
    <row r="55" spans="1:4" ht="15.75" customHeight="1">
      <c r="A55" s="7" t="s">
        <v>733</v>
      </c>
      <c r="B55" s="7" t="s">
        <v>1386</v>
      </c>
    </row>
    <row r="56" spans="1:4" ht="15.75" customHeight="1">
      <c r="A56" s="7" t="s">
        <v>1163</v>
      </c>
      <c r="B56" s="7" t="s">
        <v>1387</v>
      </c>
    </row>
    <row r="57" spans="1:4" ht="15.75" customHeight="1"/>
    <row r="58" spans="1:4" ht="15.75" customHeight="1">
      <c r="A58" s="32" t="s">
        <v>1388</v>
      </c>
      <c r="B58" s="33"/>
      <c r="C58" s="33"/>
      <c r="D58" s="34"/>
    </row>
    <row r="59" spans="1:4" ht="15.75" customHeight="1">
      <c r="A59" s="27" t="s">
        <v>1340</v>
      </c>
      <c r="B59" s="27" t="s">
        <v>1341</v>
      </c>
    </row>
    <row r="60" spans="1:4" ht="15.75" customHeight="1">
      <c r="A60" s="7" t="s">
        <v>727</v>
      </c>
      <c r="B60" s="7" t="s">
        <v>1389</v>
      </c>
    </row>
    <row r="61" spans="1:4" ht="15.75" customHeight="1">
      <c r="A61" s="7" t="s">
        <v>1390</v>
      </c>
      <c r="B61" s="7" t="s">
        <v>1391</v>
      </c>
    </row>
    <row r="62" spans="1:4" ht="15.75" customHeight="1">
      <c r="A62" s="7" t="s">
        <v>1392</v>
      </c>
      <c r="B62" s="7" t="s">
        <v>1393</v>
      </c>
    </row>
    <row r="63" spans="1:4" ht="15.75" customHeight="1">
      <c r="A63" s="7" t="s">
        <v>1394</v>
      </c>
      <c r="B63" s="7" t="s">
        <v>1395</v>
      </c>
    </row>
    <row r="64" spans="1:4" ht="15.75" customHeight="1"/>
    <row r="65" spans="1:4" ht="15.75" customHeight="1">
      <c r="A65" s="32" t="s">
        <v>1396</v>
      </c>
      <c r="B65" s="33"/>
      <c r="C65" s="33"/>
      <c r="D65" s="34"/>
    </row>
    <row r="66" spans="1:4" ht="15.75" customHeight="1">
      <c r="A66" s="27" t="s">
        <v>1340</v>
      </c>
      <c r="B66" s="27" t="s">
        <v>1341</v>
      </c>
    </row>
    <row r="67" spans="1:4" ht="15.75" customHeight="1">
      <c r="A67" s="7" t="s">
        <v>726</v>
      </c>
      <c r="B67" s="7" t="s">
        <v>1385</v>
      </c>
    </row>
    <row r="68" spans="1:4" ht="15.75" customHeight="1">
      <c r="A68" s="7" t="s">
        <v>733</v>
      </c>
      <c r="B68" s="7" t="s">
        <v>1397</v>
      </c>
    </row>
    <row r="69" spans="1:4" ht="15.75" customHeight="1">
      <c r="A69" s="7" t="s">
        <v>792</v>
      </c>
      <c r="B69" s="7" t="s">
        <v>1398</v>
      </c>
    </row>
    <row r="70" spans="1:4" ht="15.75" customHeight="1">
      <c r="A70" s="7" t="s">
        <v>796</v>
      </c>
      <c r="B70" s="7" t="s">
        <v>1018</v>
      </c>
    </row>
    <row r="71" spans="1:4" ht="15.75" customHeight="1">
      <c r="A71" s="7" t="s">
        <v>800</v>
      </c>
      <c r="B71" s="7" t="s">
        <v>1399</v>
      </c>
    </row>
    <row r="72" spans="1:4" ht="15.75" customHeight="1"/>
    <row r="73" spans="1:4" ht="15.75" customHeight="1">
      <c r="A73" s="32" t="s">
        <v>1400</v>
      </c>
      <c r="B73" s="33"/>
      <c r="C73" s="33"/>
      <c r="D73" s="34"/>
    </row>
    <row r="74" spans="1:4" ht="15.75" customHeight="1">
      <c r="A74" s="27" t="s">
        <v>1340</v>
      </c>
      <c r="B74" s="27" t="s">
        <v>1341</v>
      </c>
    </row>
    <row r="75" spans="1:4" ht="15.75" customHeight="1">
      <c r="A75" s="7" t="s">
        <v>1148</v>
      </c>
      <c r="B75" s="7" t="s">
        <v>1401</v>
      </c>
    </row>
    <row r="76" spans="1:4" ht="15.75" customHeight="1">
      <c r="A76" s="7" t="s">
        <v>1162</v>
      </c>
      <c r="B76" s="7" t="s">
        <v>1166</v>
      </c>
    </row>
    <row r="77" spans="1:4" ht="15.75" customHeight="1">
      <c r="A77" s="7" t="s">
        <v>1402</v>
      </c>
      <c r="B77" s="7" t="s">
        <v>1403</v>
      </c>
    </row>
    <row r="78" spans="1:4" ht="15.75" customHeight="1"/>
    <row r="79" spans="1:4" ht="15.75" customHeight="1">
      <c r="A79" s="32" t="s">
        <v>1404</v>
      </c>
      <c r="B79" s="33"/>
      <c r="C79" s="33"/>
      <c r="D79" s="34"/>
    </row>
    <row r="80" spans="1:4" ht="15.75" customHeight="1">
      <c r="A80" s="27" t="s">
        <v>1340</v>
      </c>
      <c r="B80" s="27" t="s">
        <v>1341</v>
      </c>
    </row>
    <row r="81" spans="1:4" ht="15.75" customHeight="1">
      <c r="A81" s="7" t="s">
        <v>1149</v>
      </c>
      <c r="B81" s="7" t="s">
        <v>1405</v>
      </c>
    </row>
    <row r="82" spans="1:4" ht="15.75" customHeight="1">
      <c r="A82" s="7" t="s">
        <v>1158</v>
      </c>
      <c r="B82" s="7" t="s">
        <v>1406</v>
      </c>
    </row>
    <row r="83" spans="1:4" ht="15.75" customHeight="1">
      <c r="A83" s="7" t="s">
        <v>1163</v>
      </c>
      <c r="B83" s="7" t="s">
        <v>1407</v>
      </c>
    </row>
    <row r="84" spans="1:4" ht="15.75" customHeight="1"/>
    <row r="85" spans="1:4" ht="15.75" customHeight="1">
      <c r="A85" s="32" t="s">
        <v>1408</v>
      </c>
      <c r="B85" s="33"/>
      <c r="C85" s="33"/>
      <c r="D85" s="34"/>
    </row>
    <row r="86" spans="1:4" ht="15.75" customHeight="1">
      <c r="A86" s="27" t="s">
        <v>1340</v>
      </c>
      <c r="B86" s="27" t="s">
        <v>1341</v>
      </c>
    </row>
    <row r="87" spans="1:4" ht="15.75" customHeight="1">
      <c r="A87" s="7" t="s">
        <v>1409</v>
      </c>
      <c r="B87" s="7" t="s">
        <v>1410</v>
      </c>
    </row>
    <row r="88" spans="1:4" ht="15.75" customHeight="1">
      <c r="A88" s="7" t="s">
        <v>1208</v>
      </c>
      <c r="B88" s="7" t="s">
        <v>1411</v>
      </c>
    </row>
    <row r="89" spans="1:4" ht="15.75" customHeight="1">
      <c r="A89" s="7" t="s">
        <v>1210</v>
      </c>
      <c r="B89" s="7" t="s">
        <v>1412</v>
      </c>
    </row>
    <row r="90" spans="1:4" ht="15.75" customHeight="1">
      <c r="A90" s="7" t="s">
        <v>1209</v>
      </c>
      <c r="B90" s="7" t="s">
        <v>1413</v>
      </c>
    </row>
    <row r="91" spans="1:4" ht="15.75" customHeight="1"/>
    <row r="92" spans="1:4" ht="15.75" customHeight="1">
      <c r="A92" s="32" t="s">
        <v>1414</v>
      </c>
      <c r="B92" s="33"/>
      <c r="C92" s="33"/>
      <c r="D92" s="34"/>
    </row>
    <row r="93" spans="1:4" ht="15.75" customHeight="1">
      <c r="A93" s="27" t="s">
        <v>1340</v>
      </c>
      <c r="B93" s="27" t="s">
        <v>1341</v>
      </c>
    </row>
    <row r="94" spans="1:4" ht="15.75" customHeight="1">
      <c r="A94" s="7" t="s">
        <v>1321</v>
      </c>
      <c r="B94" s="7" t="s">
        <v>1415</v>
      </c>
    </row>
    <row r="95" spans="1:4" ht="15.75" customHeight="1">
      <c r="A95" s="7" t="s">
        <v>1332</v>
      </c>
      <c r="B95" s="7" t="s">
        <v>1416</v>
      </c>
    </row>
    <row r="96" spans="1:4" ht="15.75" customHeight="1">
      <c r="A96" s="7" t="s">
        <v>1417</v>
      </c>
      <c r="B96" s="7" t="s">
        <v>1418</v>
      </c>
    </row>
    <row r="97" spans="1:4" ht="15.75" customHeight="1">
      <c r="A97" s="7" t="s">
        <v>1419</v>
      </c>
      <c r="B97" s="7" t="s">
        <v>1420</v>
      </c>
    </row>
    <row r="98" spans="1:4" ht="15.75" customHeight="1">
      <c r="A98" s="7" t="s">
        <v>1421</v>
      </c>
      <c r="B98" s="7" t="s">
        <v>1422</v>
      </c>
    </row>
    <row r="99" spans="1:4" ht="15.75" customHeight="1"/>
    <row r="100" spans="1:4" ht="15.75" customHeight="1">
      <c r="A100" s="32" t="s">
        <v>1423</v>
      </c>
      <c r="B100" s="33"/>
      <c r="C100" s="33"/>
      <c r="D100" s="34"/>
    </row>
    <row r="101" spans="1:4" ht="15.75" customHeight="1">
      <c r="A101" s="27" t="s">
        <v>1340</v>
      </c>
      <c r="B101" s="27" t="s">
        <v>1341</v>
      </c>
    </row>
    <row r="102" spans="1:4" ht="15.75" customHeight="1">
      <c r="A102" s="7" t="s">
        <v>1320</v>
      </c>
      <c r="B102" s="7" t="s">
        <v>1424</v>
      </c>
    </row>
    <row r="103" spans="1:4" ht="15.75" customHeight="1">
      <c r="A103" s="7" t="s">
        <v>1425</v>
      </c>
      <c r="B103" s="7" t="s">
        <v>1426</v>
      </c>
    </row>
    <row r="104" spans="1:4" ht="15.75" customHeight="1">
      <c r="A104" s="7" t="s">
        <v>1427</v>
      </c>
      <c r="B104" s="7" t="s">
        <v>1428</v>
      </c>
    </row>
    <row r="105" spans="1:4" ht="15.75" customHeight="1">
      <c r="A105" s="7" t="s">
        <v>1429</v>
      </c>
      <c r="B105" s="7" t="s">
        <v>1430</v>
      </c>
    </row>
    <row r="106" spans="1:4" ht="15.75" customHeight="1">
      <c r="A106" s="7" t="s">
        <v>1431</v>
      </c>
      <c r="B106" s="7" t="s">
        <v>1432</v>
      </c>
    </row>
    <row r="107" spans="1:4" ht="15.75" customHeight="1">
      <c r="A107" s="7" t="s">
        <v>1433</v>
      </c>
      <c r="B107" s="7" t="s">
        <v>1434</v>
      </c>
    </row>
    <row r="108" spans="1:4" ht="15.75" customHeight="1">
      <c r="A108" s="7" t="s">
        <v>1435</v>
      </c>
      <c r="B108" s="7" t="s">
        <v>1436</v>
      </c>
    </row>
    <row r="109" spans="1:4" ht="15.75" customHeight="1"/>
    <row r="110" spans="1:4" ht="15.75" customHeight="1">
      <c r="A110" s="32" t="s">
        <v>1437</v>
      </c>
      <c r="B110" s="33"/>
      <c r="C110" s="33"/>
      <c r="D110" s="34"/>
    </row>
    <row r="111" spans="1:4" ht="15.75" customHeight="1">
      <c r="A111" s="27" t="s">
        <v>1340</v>
      </c>
      <c r="B111" s="27" t="s">
        <v>1341</v>
      </c>
    </row>
    <row r="112" spans="1:4" ht="15.75" customHeight="1">
      <c r="A112" s="7" t="s">
        <v>1322</v>
      </c>
      <c r="B112" s="7" t="s">
        <v>1438</v>
      </c>
    </row>
    <row r="113" spans="1:4" ht="15.75" customHeight="1">
      <c r="A113" s="7" t="s">
        <v>1439</v>
      </c>
      <c r="B113" s="7" t="s">
        <v>1440</v>
      </c>
    </row>
    <row r="114" spans="1:4" ht="15.75" customHeight="1">
      <c r="A114" s="7" t="s">
        <v>1441</v>
      </c>
      <c r="B114" s="7" t="s">
        <v>1442</v>
      </c>
    </row>
    <row r="115" spans="1:4" ht="15.75" customHeight="1">
      <c r="A115" s="7" t="s">
        <v>1443</v>
      </c>
      <c r="B115" s="7" t="s">
        <v>1444</v>
      </c>
    </row>
    <row r="116" spans="1:4" ht="15.75" customHeight="1"/>
    <row r="117" spans="1:4" ht="15.75" customHeight="1">
      <c r="A117" s="32" t="s">
        <v>1445</v>
      </c>
      <c r="B117" s="33"/>
      <c r="C117" s="33"/>
      <c r="D117" s="34"/>
    </row>
    <row r="118" spans="1:4" ht="15.75" customHeight="1">
      <c r="A118" s="27" t="s">
        <v>1340</v>
      </c>
      <c r="B118" s="27" t="s">
        <v>1341</v>
      </c>
    </row>
    <row r="119" spans="1:4" ht="15.75" customHeight="1">
      <c r="A119" s="7" t="s">
        <v>1446</v>
      </c>
      <c r="B119" s="7" t="s">
        <v>866</v>
      </c>
    </row>
    <row r="120" spans="1:4" ht="15.75" customHeight="1">
      <c r="A120" s="7" t="s">
        <v>1447</v>
      </c>
      <c r="B120" s="7" t="s">
        <v>1448</v>
      </c>
    </row>
    <row r="121" spans="1:4" ht="15.75" customHeight="1">
      <c r="A121" s="7" t="s">
        <v>1449</v>
      </c>
      <c r="B121" s="7" t="s">
        <v>1450</v>
      </c>
    </row>
    <row r="122" spans="1:4" ht="15.75" customHeight="1">
      <c r="A122" s="7" t="s">
        <v>1451</v>
      </c>
      <c r="B122" s="7" t="s">
        <v>1452</v>
      </c>
    </row>
    <row r="123" spans="1:4" ht="15.75" customHeight="1">
      <c r="A123" s="7" t="s">
        <v>1453</v>
      </c>
      <c r="B123" s="7" t="s">
        <v>1454</v>
      </c>
    </row>
    <row r="124" spans="1:4" ht="15.75" customHeight="1">
      <c r="A124" s="7" t="s">
        <v>1455</v>
      </c>
      <c r="B124" s="7" t="s">
        <v>1456</v>
      </c>
    </row>
    <row r="125" spans="1:4" ht="15.75" customHeight="1">
      <c r="A125" s="7" t="s">
        <v>1457</v>
      </c>
      <c r="B125" s="7" t="s">
        <v>1458</v>
      </c>
    </row>
    <row r="126" spans="1:4" ht="15.75" customHeight="1">
      <c r="A126" s="7" t="s">
        <v>1459</v>
      </c>
      <c r="B126" s="7" t="s">
        <v>1460</v>
      </c>
    </row>
    <row r="127" spans="1:4" ht="15.75" customHeight="1"/>
    <row r="128" spans="1:4" ht="15.75" customHeight="1">
      <c r="A128" s="32" t="s">
        <v>1461</v>
      </c>
      <c r="B128" s="33"/>
      <c r="C128" s="33"/>
      <c r="D128" s="34"/>
    </row>
    <row r="129" spans="1:4" ht="15.75" customHeight="1">
      <c r="A129" s="27" t="s">
        <v>1340</v>
      </c>
      <c r="B129" s="27" t="s">
        <v>1341</v>
      </c>
    </row>
    <row r="130" spans="1:4" ht="15.75" customHeight="1">
      <c r="A130" s="7" t="s">
        <v>1258</v>
      </c>
      <c r="B130" s="7" t="s">
        <v>1462</v>
      </c>
    </row>
    <row r="131" spans="1:4" ht="15.75" customHeight="1">
      <c r="A131" s="7" t="s">
        <v>1263</v>
      </c>
      <c r="B131" s="7" t="s">
        <v>1463</v>
      </c>
    </row>
    <row r="132" spans="1:4" ht="15.75" customHeight="1">
      <c r="A132" s="7" t="s">
        <v>1268</v>
      </c>
      <c r="B132" s="7" t="s">
        <v>1464</v>
      </c>
    </row>
    <row r="133" spans="1:4" ht="15.75" customHeight="1"/>
    <row r="134" spans="1:4" ht="15.75" customHeight="1">
      <c r="A134" s="32" t="s">
        <v>1465</v>
      </c>
      <c r="B134" s="33"/>
      <c r="C134" s="33"/>
      <c r="D134" s="34"/>
    </row>
    <row r="135" spans="1:4" ht="15.75" customHeight="1">
      <c r="A135" s="27" t="s">
        <v>1340</v>
      </c>
      <c r="B135" s="27" t="s">
        <v>1341</v>
      </c>
    </row>
    <row r="136" spans="1:4" ht="15.75" customHeight="1">
      <c r="A136" s="7" t="s">
        <v>942</v>
      </c>
      <c r="B136" s="7" t="s">
        <v>1466</v>
      </c>
    </row>
    <row r="137" spans="1:4" ht="15.75" customHeight="1">
      <c r="A137" s="7" t="s">
        <v>1467</v>
      </c>
      <c r="B137" s="7" t="s">
        <v>1468</v>
      </c>
    </row>
    <row r="138" spans="1:4" ht="15.75" customHeight="1">
      <c r="A138" s="7" t="s">
        <v>1469</v>
      </c>
      <c r="B138" s="7" t="s">
        <v>1470</v>
      </c>
    </row>
    <row r="139" spans="1:4" ht="15.75" customHeight="1">
      <c r="A139" s="7" t="s">
        <v>1471</v>
      </c>
      <c r="B139" s="7" t="s">
        <v>1472</v>
      </c>
    </row>
    <row r="140" spans="1:4" ht="15.75" customHeight="1">
      <c r="A140" s="7" t="s">
        <v>1473</v>
      </c>
      <c r="B140" s="7" t="s">
        <v>1474</v>
      </c>
    </row>
    <row r="141" spans="1:4" ht="15.75" customHeight="1">
      <c r="A141" s="7" t="s">
        <v>1475</v>
      </c>
      <c r="B141" s="7" t="s">
        <v>1476</v>
      </c>
    </row>
    <row r="142" spans="1:4" ht="15.75" customHeight="1">
      <c r="A142" s="7" t="s">
        <v>1477</v>
      </c>
      <c r="B142" s="7" t="s">
        <v>1478</v>
      </c>
    </row>
    <row r="143" spans="1:4" ht="15.75" customHeight="1">
      <c r="A143" s="7" t="s">
        <v>1479</v>
      </c>
      <c r="B143" s="7" t="s">
        <v>1480</v>
      </c>
    </row>
    <row r="144" spans="1: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58:D58"/>
    <mergeCell ref="A65:D65"/>
    <mergeCell ref="A128:D128"/>
    <mergeCell ref="A134:D134"/>
    <mergeCell ref="A73:D73"/>
    <mergeCell ref="A79:D79"/>
    <mergeCell ref="A85:D85"/>
    <mergeCell ref="A92:D92"/>
    <mergeCell ref="A100:D100"/>
    <mergeCell ref="A110:D110"/>
    <mergeCell ref="A117:D117"/>
    <mergeCell ref="A1:D1"/>
    <mergeCell ref="A3:D3"/>
    <mergeCell ref="A24:D24"/>
    <mergeCell ref="A39:D39"/>
    <mergeCell ref="A52:D5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16</vt:i4>
      </vt:variant>
    </vt:vector>
  </HeadingPairs>
  <TitlesOfParts>
    <vt:vector size="16" baseType="lpstr">
      <vt:lpstr>00_README</vt:lpstr>
      <vt:lpstr>14_Company_Settings</vt:lpstr>
      <vt:lpstr>06_COA</vt:lpstr>
      <vt:lpstr>07_Taxes</vt:lpstr>
      <vt:lpstr>08_Journals</vt:lpstr>
      <vt:lpstr>09_Asset_Groups</vt:lpstr>
      <vt:lpstr>10_Asset_Locations</vt:lpstr>
      <vt:lpstr>01_Categories</vt:lpstr>
      <vt:lpstr>04_Customers</vt:lpstr>
      <vt:lpstr>05_Principals</vt:lpstr>
      <vt:lpstr>02_Products</vt:lpstr>
      <vt:lpstr>03_Rental_Pricing</vt:lpstr>
      <vt:lpstr>11_Drone_Kit_Components</vt:lpstr>
      <vt:lpstr>12_Damage_Tariffs</vt:lpstr>
      <vt:lpstr>13_Drone_Cards</vt:lpstr>
      <vt:lpstr>99_Reference_Lists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Stefanus Ade Maryadi</cp:lastModifiedBy>
  <dcterms:created xsi:type="dcterms:W3CDTF">2026-05-05T04:11:10Z</dcterms:created>
  <dcterms:modified xsi:type="dcterms:W3CDTF">2026-06-09T01:05:56Z</dcterms:modified>
</cp:coreProperties>
</file>